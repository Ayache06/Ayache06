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"/>
    </mc:Choice>
  </mc:AlternateContent>
  <bookViews>
    <workbookView xWindow="120" yWindow="60" windowWidth="15180" windowHeight="9350" tabRatio="515"/>
  </bookViews>
  <sheets>
    <sheet name="Audit Shelter" sheetId="2" r:id="rId1"/>
    <sheet name="image" sheetId="4" r:id="rId2"/>
  </sheets>
  <calcPr calcId="162913"/>
</workbook>
</file>

<file path=xl/calcChain.xml><?xml version="1.0" encoding="utf-8"?>
<calcChain xmlns="http://schemas.openxmlformats.org/spreadsheetml/2006/main">
  <c r="C88" i="2" l="1"/>
  <c r="D44" i="2"/>
  <c r="D73" i="2"/>
  <c r="D142" i="2"/>
  <c r="D137" i="2"/>
  <c r="D130" i="2"/>
  <c r="D123" i="2"/>
  <c r="D112" i="2"/>
  <c r="D108" i="2"/>
  <c r="D87" i="2"/>
  <c r="D60" i="2"/>
  <c r="D54" i="2"/>
  <c r="D21" i="2"/>
  <c r="C14" i="2"/>
  <c r="C12" i="2"/>
  <c r="D101" i="2"/>
  <c r="D97" i="2"/>
  <c r="B31" i="2"/>
  <c r="C144" i="2"/>
  <c r="C145" i="2"/>
  <c r="C146" i="2"/>
  <c r="C147" i="2"/>
  <c r="C148" i="2"/>
  <c r="C149" i="2"/>
  <c r="C150" i="2"/>
  <c r="C143" i="2"/>
  <c r="C139" i="2"/>
  <c r="C140" i="2"/>
  <c r="C141" i="2"/>
  <c r="C138" i="2"/>
  <c r="C132" i="2"/>
  <c r="C133" i="2"/>
  <c r="C134" i="2"/>
  <c r="C135" i="2"/>
  <c r="C136" i="2"/>
  <c r="C131" i="2"/>
  <c r="C125" i="2"/>
  <c r="C126" i="2"/>
  <c r="C127" i="2"/>
  <c r="C128" i="2"/>
  <c r="C129" i="2"/>
  <c r="C124" i="2"/>
  <c r="C114" i="2"/>
  <c r="C115" i="2"/>
  <c r="C116" i="2"/>
  <c r="C117" i="2"/>
  <c r="C118" i="2"/>
  <c r="C119" i="2"/>
  <c r="C120" i="2"/>
  <c r="C121" i="2"/>
  <c r="C122" i="2"/>
  <c r="C113" i="2"/>
  <c r="C110" i="2"/>
  <c r="C111" i="2"/>
  <c r="C109" i="2"/>
  <c r="C103" i="2"/>
  <c r="C104" i="2"/>
  <c r="C105" i="2"/>
  <c r="C106" i="2"/>
  <c r="C107" i="2"/>
  <c r="C102" i="2"/>
  <c r="C99" i="2"/>
  <c r="C100" i="2"/>
  <c r="C98" i="2"/>
  <c r="C89" i="2"/>
  <c r="C90" i="2"/>
  <c r="C91" i="2"/>
  <c r="C92" i="2"/>
  <c r="C93" i="2"/>
  <c r="C94" i="2"/>
  <c r="C95" i="2"/>
  <c r="C75" i="2"/>
  <c r="C76" i="2"/>
  <c r="C77" i="2"/>
  <c r="C78" i="2"/>
  <c r="C79" i="2"/>
  <c r="C80" i="2"/>
  <c r="C81" i="2"/>
  <c r="C82" i="2"/>
  <c r="C83" i="2"/>
  <c r="C84" i="2"/>
  <c r="C85" i="2"/>
  <c r="C86" i="2"/>
  <c r="C74" i="2"/>
  <c r="C62" i="2"/>
  <c r="C63" i="2"/>
  <c r="C64" i="2"/>
  <c r="C65" i="2"/>
  <c r="C66" i="2"/>
  <c r="C67" i="2"/>
  <c r="C68" i="2"/>
  <c r="C69" i="2"/>
  <c r="C70" i="2"/>
  <c r="C71" i="2"/>
  <c r="C72" i="2"/>
  <c r="C61" i="2"/>
  <c r="C56" i="2"/>
  <c r="C57" i="2"/>
  <c r="C58" i="2"/>
  <c r="C59" i="2"/>
  <c r="C55" i="2"/>
  <c r="C46" i="2"/>
  <c r="C47" i="2"/>
  <c r="C48" i="2"/>
  <c r="C49" i="2"/>
  <c r="C50" i="2"/>
  <c r="C51" i="2"/>
  <c r="C52" i="2"/>
  <c r="C53" i="2"/>
  <c r="C45" i="2"/>
  <c r="C33" i="2"/>
  <c r="C34" i="2"/>
  <c r="C35" i="2"/>
  <c r="C36" i="2"/>
  <c r="C37" i="2"/>
  <c r="C38" i="2"/>
  <c r="C39" i="2"/>
  <c r="C40" i="2"/>
  <c r="C41" i="2"/>
  <c r="C42" i="2"/>
  <c r="C43" i="2"/>
  <c r="C32" i="2"/>
  <c r="B21" i="2"/>
  <c r="B44" i="2"/>
  <c r="B54" i="2"/>
  <c r="B130" i="2"/>
  <c r="B112" i="2"/>
  <c r="B108" i="2"/>
  <c r="B101" i="2"/>
  <c r="B97" i="2"/>
  <c r="B87" i="2"/>
  <c r="B73" i="2"/>
  <c r="B60" i="2"/>
  <c r="B11" i="2"/>
  <c r="B123" i="2"/>
  <c r="B137" i="2"/>
  <c r="B142" i="2"/>
  <c r="C15" i="2"/>
  <c r="C16" i="2"/>
  <c r="C17" i="2"/>
  <c r="C18" i="2"/>
  <c r="C19" i="2"/>
  <c r="C20" i="2"/>
  <c r="C22" i="2"/>
  <c r="C24" i="2"/>
  <c r="C25" i="2"/>
  <c r="C26" i="2"/>
  <c r="C27" i="2"/>
  <c r="C28" i="2"/>
  <c r="C29" i="2"/>
  <c r="C30" i="2"/>
  <c r="C23" i="2"/>
  <c r="D11" i="2"/>
  <c r="C13" i="2"/>
  <c r="B96" i="2" l="1"/>
  <c r="B151" i="2"/>
  <c r="C44" i="2"/>
  <c r="C142" i="2"/>
  <c r="C97" i="2"/>
  <c r="C123" i="2"/>
  <c r="C137" i="2"/>
  <c r="D96" i="2"/>
  <c r="D151" i="2" s="1"/>
  <c r="C11" i="2"/>
  <c r="C73" i="2"/>
  <c r="C31" i="2"/>
  <c r="C87" i="2"/>
  <c r="C108" i="2"/>
  <c r="C101" i="2"/>
  <c r="C130" i="2"/>
  <c r="C21" i="2"/>
  <c r="C112" i="2"/>
  <c r="C60" i="2"/>
  <c r="C54" i="2"/>
  <c r="C96" i="2" l="1"/>
  <c r="C151" i="2"/>
  <c r="B153" i="2" s="1"/>
</calcChain>
</file>

<file path=xl/comments1.xml><?xml version="1.0" encoding="utf-8"?>
<comments xmlns="http://schemas.openxmlformats.org/spreadsheetml/2006/main">
  <authors>
    <author>afarouk</author>
  </authors>
  <commentList>
    <comment ref="E10" authorId="0" shapeId="0">
      <text>
        <r>
          <rPr>
            <b/>
            <sz val="8"/>
            <color indexed="81"/>
            <rFont val="Tahoma"/>
            <family val="2"/>
          </rPr>
          <t>afarouk:</t>
        </r>
        <r>
          <rPr>
            <sz val="8"/>
            <color indexed="81"/>
            <rFont val="Tahoma"/>
            <family val="2"/>
          </rPr>
          <t xml:space="preserve">
the subcont. Will fill this cell to indicate what is the agreed corrective actions also the date</t>
        </r>
      </text>
    </comment>
  </commentList>
</comments>
</file>

<file path=xl/sharedStrings.xml><?xml version="1.0" encoding="utf-8"?>
<sst xmlns="http://schemas.openxmlformats.org/spreadsheetml/2006/main" count="164" uniqueCount="162">
  <si>
    <t>12.4  Mesure de la valeur de la terre</t>
  </si>
  <si>
    <t>11  Pratonnère, mise à la terre</t>
  </si>
  <si>
    <t>11  Aériens : Equipements et installation</t>
  </si>
  <si>
    <t xml:space="preserve">13.1  Mise à la terre  des feeders </t>
  </si>
  <si>
    <t>13.2  Mise à la terre  des câbles Coax MW si applicable</t>
  </si>
  <si>
    <t>13.3  Arrangement des feeders et des câbles IF sur le mât ou pylône</t>
  </si>
  <si>
    <t>13.4  Etat  des connecteurs Radio et MW : Serrage et étanchéité</t>
  </si>
  <si>
    <t>13.5  Barres contre-vent pour les liens de 1,2 et 1,8</t>
  </si>
  <si>
    <t>13.6  Serrage de la boulonneries des barres contre vent, bras de déport , paraboles et antennes Radio</t>
  </si>
  <si>
    <t>13.7  Mise a la terre des bras d'éports ( Radio-MW), paraboles et antennes Radio</t>
  </si>
  <si>
    <t>13.8 Etiquettage : direction des Paraboles MW et des PAVs, secteurs associés avec les feeders</t>
  </si>
  <si>
    <t>Criteria</t>
  </si>
  <si>
    <t>Weight</t>
  </si>
  <si>
    <t>Audit Weight</t>
  </si>
  <si>
    <t>Status</t>
  </si>
  <si>
    <t>Weight Result</t>
  </si>
  <si>
    <t>Corrective Action</t>
  </si>
  <si>
    <t>Date Of Corrective Action</t>
  </si>
  <si>
    <t>9  Equipment &amp; DDF</t>
  </si>
  <si>
    <t>Total</t>
  </si>
  <si>
    <t>1- Coffret-compteur et câbles éléctriques</t>
  </si>
  <si>
    <t>2-Climatisation</t>
  </si>
  <si>
    <t>4- Alarme d'incendie et Extincteur</t>
  </si>
  <si>
    <t>6  TGBT</t>
  </si>
  <si>
    <t>8.1 Câble et goullotes</t>
  </si>
  <si>
    <t>7- Shelter</t>
  </si>
  <si>
    <t>8.2 Interieur du shelter</t>
  </si>
  <si>
    <t>8.3 Exterieur du shelter</t>
  </si>
  <si>
    <t>8.2.1 Cablofil tout au tour du shelter</t>
  </si>
  <si>
    <t>8.2.2 Fixation du Cablofil</t>
  </si>
  <si>
    <t>8.2.3 Arrangement et fixation des câbles sur le Cablofil</t>
  </si>
  <si>
    <t>8.2.4 Mise à la terre du Cablofil</t>
  </si>
  <si>
    <t>8.2.5 Pas d'angles aigues ( pas de cornières tranchantes )</t>
  </si>
  <si>
    <t>8.3.1 Fixation du chemin de câble</t>
  </si>
  <si>
    <t>8.3.2 Fixation du capot ( couvercle du chemin de câble)</t>
  </si>
  <si>
    <t>8.3.3 Mise à la terre du chemin de câble</t>
  </si>
  <si>
    <t>8.1.2 Goulottage de tout les câbles</t>
  </si>
  <si>
    <r>
      <t>8.1.3 Sortie de câbles des goulottes</t>
    </r>
    <r>
      <rPr>
        <sz val="9"/>
        <color indexed="10"/>
        <rFont val="Arial"/>
        <family val="2"/>
      </rPr>
      <t xml:space="preserve"> : la façon comment le goulottage est terminé</t>
    </r>
  </si>
  <si>
    <r>
      <t>8.1.1 Installation et couvercles des goulottes</t>
    </r>
    <r>
      <rPr>
        <sz val="9"/>
        <color indexed="10"/>
        <rFont val="Arial"/>
        <family val="2"/>
      </rPr>
      <t xml:space="preserve"> : vérifier la qualité, la largeur, la conformité</t>
    </r>
  </si>
  <si>
    <t>3-b.1 Etiquettage des racks de batteries</t>
  </si>
  <si>
    <t>3-b.4 Les racks de batteries sont mis à la terre électrique ( Baie d'énergie)</t>
  </si>
  <si>
    <t>5.5 Fonctionnement de l'alarme "Porte ouverte"</t>
  </si>
  <si>
    <t>5.6 Fonctionnement de l'alarme "Haute température" et "Très Haute température"</t>
  </si>
  <si>
    <t>5.7 Etat des sondes et des détecteurs d'alarmes: Fin de course porte ouverte, sondes T°…</t>
  </si>
  <si>
    <t>5.8 Etiquettage des alarmes : au niveau des câbles et des équipements</t>
  </si>
  <si>
    <t>5.4 Connexion des alarmes au niveau des équipements (BTS/BSC) et au niveau du DDF: Routage et bixage</t>
  </si>
  <si>
    <t>3-b.2 les câbles entre le batteries et la baie d'énergie sont courts ( pas de mous) &amp; longueurs et diamètres similaires</t>
  </si>
  <si>
    <t>3-b.3 Les câbles de batteries sont bien organisés et passés dans des goulottes</t>
  </si>
  <si>
    <r>
      <t xml:space="preserve">3-b.5 Les racks de batteries sont mis à la terre du site ( terre générale) </t>
    </r>
    <r>
      <rPr>
        <sz val="9"/>
        <color indexed="10"/>
        <rFont val="Arial"/>
        <family val="2"/>
      </rPr>
      <t>: si applicable</t>
    </r>
  </si>
  <si>
    <t>Résultat de l'Audit du SITE</t>
  </si>
  <si>
    <r>
      <t xml:space="preserve">4.1 Boitier d'alarmes </t>
    </r>
    <r>
      <rPr>
        <sz val="9"/>
        <color indexed="10"/>
        <rFont val="Arial"/>
        <family val="2"/>
      </rPr>
      <t>( si applicable )</t>
    </r>
    <r>
      <rPr>
        <sz val="9"/>
        <color indexed="8"/>
        <rFont val="Arial"/>
        <family val="2"/>
      </rPr>
      <t xml:space="preserve"> : présence , fonctionnement </t>
    </r>
  </si>
  <si>
    <r>
      <t xml:space="preserve">4.2 Detecteurs : Incendie &amp; Fumée </t>
    </r>
    <r>
      <rPr>
        <sz val="9"/>
        <color indexed="10"/>
        <rFont val="Arial"/>
        <family val="2"/>
      </rPr>
      <t>( Alimentation  24V, fonctionnement, réglage NC/NO …etc)</t>
    </r>
  </si>
  <si>
    <r>
      <t xml:space="preserve">5.10 Etat et fonctionnement de l'éclairage Normal </t>
    </r>
    <r>
      <rPr>
        <sz val="9"/>
        <color indexed="10"/>
        <rFont val="Arial"/>
        <family val="2"/>
      </rPr>
      <t>( les Néons )</t>
    </r>
  </si>
  <si>
    <r>
      <t xml:space="preserve">5.9 Etat et fonctionnement de l'éclairage de secours </t>
    </r>
    <r>
      <rPr>
        <sz val="9"/>
        <color indexed="10"/>
        <rFont val="Arial"/>
        <family val="2"/>
      </rPr>
      <t>( BAZOOKA)</t>
    </r>
  </si>
  <si>
    <t>10.2 Etat du portail et de la serrure</t>
  </si>
  <si>
    <t xml:space="preserve">5.2 Fonctionnement de l'alarme Mains power failure  </t>
  </si>
  <si>
    <t>6.10  Etat du sélecteur GE / Secteur</t>
  </si>
  <si>
    <t>1.9  Serrage des câbles sur le disjoncteur principal</t>
  </si>
  <si>
    <t>5.3 Fonctionement et renvoie d'alarmes General AC</t>
  </si>
  <si>
    <t>4.3 Fixation de l'extincteur</t>
  </si>
  <si>
    <t>4.4 Durée de validité de l'extincteur</t>
  </si>
  <si>
    <t>4.5 Fonctionnement de l'alarme d'incendie</t>
  </si>
  <si>
    <t>5.1 Fonctionnement des alarmes de la baie d'énergie ( Rectifier +batterie deep-charge)</t>
  </si>
  <si>
    <t>5  Alarmes extèrnes , Eclairage &amp; Prises</t>
  </si>
  <si>
    <t>5.12  Les prises 220V : Etat , connexion, emplacement, protection &amp; mise à la terre</t>
  </si>
  <si>
    <t>8 Chemins de câble et Goullotes</t>
  </si>
  <si>
    <t xml:space="preserve">11 Radio &amp; Transmittion </t>
  </si>
  <si>
    <t>11.2  Aucune alarme sur les équipements : Tous les Temoins verts</t>
  </si>
  <si>
    <t>9.9  Etiquettage des Equipements : BTS, PS, IDU…( pour la BTS indiquer la Bande et pour le MW : indiquer direction et Fréquence)</t>
  </si>
  <si>
    <t xml:space="preserve">10 Clôture, Mât &amp; Pylône + apparence generale du site </t>
  </si>
  <si>
    <t>5.11 Etat et fonctionnement de l'éclairage Exterieur ( détecteur de mouvement + lampe )</t>
  </si>
  <si>
    <t>3-a.2  Nombre de Rectifiers suffissant +configuration des paramétre ( courant et temsion)</t>
  </si>
  <si>
    <t>3-a.10 Etiquettage des câbles d'alarmes</t>
  </si>
  <si>
    <t>3-a.11 Etiquettage des câbles d'utilisation 48 v</t>
  </si>
  <si>
    <r>
      <t xml:space="preserve">3-a.12 Etiquettage des baies d'énergie </t>
    </r>
    <r>
      <rPr>
        <sz val="9"/>
        <color indexed="10"/>
        <rFont val="Arial"/>
        <family val="2"/>
      </rPr>
      <t>(si plus d'une baie est présente)</t>
    </r>
  </si>
  <si>
    <t>9.10 fermuture des portes des racks</t>
  </si>
  <si>
    <t>10.3 Traitement des barrettes de terre avec de la graisse antistatique</t>
  </si>
  <si>
    <t>10.4 Etat de corrosion des pylônes et des mâts</t>
  </si>
  <si>
    <r>
      <t>10.6 Etat et fonctionnement du balisage</t>
    </r>
    <r>
      <rPr>
        <sz val="9"/>
        <color indexed="10"/>
        <rFont val="Arial"/>
        <family val="2"/>
      </rPr>
      <t xml:space="preserve"> ( pour les pylônes)</t>
    </r>
  </si>
  <si>
    <t>9.8  Mise à la terre du DDF</t>
  </si>
  <si>
    <t>9.7  Apparence, arragement des jartiaires , état &amp; etiquetage  DDF</t>
  </si>
  <si>
    <t>9.6  Fixation et mise à la terre des équipements</t>
  </si>
  <si>
    <t>9.5  Fixation du Lower jumper ( bretelle basse) au niveau du Cablofil</t>
  </si>
  <si>
    <r>
      <t>9.4  Etiquettage des feeders des deux côtés</t>
    </r>
    <r>
      <rPr>
        <sz val="9"/>
        <color indexed="10"/>
        <rFont val="Arial"/>
        <family val="2"/>
      </rPr>
      <t xml:space="preserve"> ( côté BTS et côté Antenne)</t>
    </r>
  </si>
  <si>
    <t>9.3  Serrage des conecteurs Coax ( Feeders-jumpers , jumpers-BTS, Coax FH …)</t>
  </si>
  <si>
    <t>9.2  Etiquettage des jumpers</t>
  </si>
  <si>
    <t>9.1  Apparence générale et ésthétique des équipements + Nettoyage et dépoussiérage des équipements et des filtres</t>
  </si>
  <si>
    <t>7.7  Etat de l'éscabot et du seuil d'accès ( marches d'accès anti dérapant)</t>
  </si>
  <si>
    <t>7.3  Etat de la deuxième toiture Si applicable</t>
  </si>
  <si>
    <t>7.2  Etanchéiété du shelter ( Interieur et exterieur+ Tapis antistatique)</t>
  </si>
  <si>
    <t>7.1  Apparence du shelter (mise à la terre, murs,sol ,plafond), pourcentage de rouille &amp; nettoyage+eclairage Exterieur)</t>
  </si>
  <si>
    <t>6.9   Vérification des tensions entre (Neutre &amp; terre) : 0 V</t>
  </si>
  <si>
    <t xml:space="preserve">6.8  Etat et protection des composants électriques: Disjoncteurs, contacteurs.  </t>
  </si>
  <si>
    <t>6.6  Diamètres et couleurs des fils électriques</t>
  </si>
  <si>
    <t>6.5  Arrangement des câbles et des fils électriques</t>
  </si>
  <si>
    <t>6.4  Etiquettage des disjoncteurs</t>
  </si>
  <si>
    <t>6.3  Etat du TGBT : Fixation, porte, serrure ( autre dispositif)</t>
  </si>
  <si>
    <t>6.2  Etat et étiquettage du câblage interne du TGBT</t>
  </si>
  <si>
    <t>6.1  Connexions et pénétrations des câbles électriques au niveau du TGBT ( embouts et trémies)</t>
  </si>
  <si>
    <t>3-a.9  Etiquettage des fusibles et des disjoncteurs</t>
  </si>
  <si>
    <t>3-a.8  Présence de la sonde de température entre les batteries: Si applicable</t>
  </si>
  <si>
    <t>3-a.7  Aucune alarme sur la carte de contrôle PS ni au niveau de l'OMC</t>
  </si>
  <si>
    <t>3-a.6  Float voltage sur la bar collectrice ( Négative) : 54.48v</t>
  </si>
  <si>
    <t>3-a.5  Tout les modules sont équilibrés ( même voltage de sortie )</t>
  </si>
  <si>
    <t>3-a.4  Tout les câbles ( AC &amp; DC ) sont bien sérrés (vérifier aussi les câbles des batteries au niveau des fusibles  )</t>
  </si>
  <si>
    <t>3-a.3  Le chassis de labie et  sortie positive (0 vdc) est connectée à la terre du site ( terre générale)</t>
  </si>
  <si>
    <t>2.8  Fonctionnement de l'ATS, fonctionnement de l'horloge &amp; réglage de basculement (4 heures pour chaque Clim)</t>
  </si>
  <si>
    <r>
      <t xml:space="preserve">2.7  Présence de la sonde 27 °C </t>
    </r>
    <r>
      <rPr>
        <sz val="9"/>
        <color indexed="10"/>
        <rFont val="Arial"/>
        <family val="2"/>
      </rPr>
      <t>( seuil de démarrage du comprésseur)</t>
    </r>
    <r>
      <rPr>
        <sz val="9"/>
        <color indexed="8"/>
        <rFont val="Arial"/>
        <family val="2"/>
      </rPr>
      <t xml:space="preserve"> , Fonctionnement &amp; connexion du câblage</t>
    </r>
  </si>
  <si>
    <t>2.6  Etat de l'unité interieure et des  filtres</t>
  </si>
  <si>
    <t>2.5  Nettoyage et étiquettage de l'unité interieure</t>
  </si>
  <si>
    <t>2.4  Isolation du circuit de réfrigérant et calorifuge</t>
  </si>
  <si>
    <t>2.3  Fixation et mise à la terre de l'unité exterieure de la Clim</t>
  </si>
  <si>
    <t xml:space="preserve">2.2  Etat de l'unité exterieure de la Clim et niveau de vibration+drainage de l'eau et évacuation </t>
  </si>
  <si>
    <t>2.1  Fonctionnement de la Climatisation ( froid et chauffache )</t>
  </si>
  <si>
    <r>
      <t>1.8  Protection des câbles électriques et des câbles de mise à la terre</t>
    </r>
    <r>
      <rPr>
        <sz val="9"/>
        <color indexed="10"/>
        <rFont val="Arial"/>
        <family val="2"/>
      </rPr>
      <t xml:space="preserve"> : Gaines et/ou goulotes , canalisations… etc</t>
    </r>
  </si>
  <si>
    <r>
      <t xml:space="preserve">1.7  Presence du disjoncteur  </t>
    </r>
    <r>
      <rPr>
        <u/>
        <sz val="9"/>
        <color indexed="10"/>
        <rFont val="Arial"/>
        <family val="2"/>
      </rPr>
      <t>( OTA = 63A)</t>
    </r>
    <r>
      <rPr>
        <sz val="9"/>
        <color indexed="8"/>
        <rFont val="Arial"/>
        <family val="2"/>
      </rPr>
      <t xml:space="preserve"> :</t>
    </r>
    <r>
      <rPr>
        <sz val="9"/>
        <color indexed="10"/>
        <rFont val="Arial"/>
        <family val="2"/>
      </rPr>
      <t xml:space="preserve"> Marque certifiée </t>
    </r>
  </si>
  <si>
    <r>
      <t>1.5  Passage des câbles éléctriques et de mise à la terre</t>
    </r>
    <r>
      <rPr>
        <sz val="9"/>
        <color indexed="10"/>
        <rFont val="Arial"/>
        <family val="2"/>
      </rPr>
      <t xml:space="preserve"> : chemin de passage optimal</t>
    </r>
  </si>
  <si>
    <t>1.4  Etat du coffret ( peiture +Anti-rouille+Netoyage + ,,,,,ect)</t>
  </si>
  <si>
    <r>
      <t xml:space="preserve">1.2  Etanchéiété du coffret : </t>
    </r>
    <r>
      <rPr>
        <sz val="9"/>
        <color indexed="10"/>
        <rFont val="Arial"/>
        <family val="2"/>
      </rPr>
      <t>infiltarion d'eau</t>
    </r>
  </si>
  <si>
    <r>
      <t>1.1  Sécurisation du coffret</t>
    </r>
    <r>
      <rPr>
        <sz val="9"/>
        <color indexed="10"/>
        <rFont val="Arial"/>
        <family val="2"/>
      </rPr>
      <t xml:space="preserve"> : Accessibilité pour les curieux, enfants …etc , Fonctionnement de la Serrure </t>
    </r>
  </si>
  <si>
    <r>
      <t xml:space="preserve">1.3  Pénétrations des câbles électriques + Embouts des câbles électriques ( câble terminals) : </t>
    </r>
    <r>
      <rPr>
        <sz val="9"/>
        <color indexed="10"/>
        <rFont val="Arial"/>
        <family val="2"/>
      </rPr>
      <t>trémies</t>
    </r>
  </si>
  <si>
    <t xml:space="preserve">12.1  Etat et Fixation de la tige paratonnaire </t>
  </si>
  <si>
    <t>12.2  Continuité de la descente paratonnerre et de la descente de terre et fixation</t>
  </si>
  <si>
    <t xml:space="preserve">11.1  Niveau d'émission et de réception conformes au PDH plan </t>
  </si>
  <si>
    <t>11.3  VSWR torérable : seuil 1,1</t>
  </si>
  <si>
    <t>11.4  Séparation FH pour les sitess importants ( superieur à 02 sites)</t>
  </si>
  <si>
    <t>11.5  Vérification des adresses IP</t>
  </si>
  <si>
    <t>11.6  Vérification de la supervision PDH : si applicable</t>
  </si>
  <si>
    <t>10.1 Etat de la clôture + apparencence generale du site ( peinture , désherbage, nettoyage,,,ect)</t>
  </si>
  <si>
    <t xml:space="preserve">3-b.7 Tout les couvercles des batteries sont présents </t>
  </si>
  <si>
    <t>3-b.8 Distance entre les batteries (1 cm)</t>
  </si>
  <si>
    <t>3-b.9 Les bornes de batteries sont bien serrées, propres et graissé avec de la graisse antistatique</t>
  </si>
  <si>
    <t>3-b.6 Liaison équipotentielle entre les Racks</t>
  </si>
  <si>
    <t>12.3  Etat du puit de terre(existance de la liaison equipotentielle+raccordement de tous les câbles + nettoyage + garaissage)</t>
  </si>
  <si>
    <t>6.13  Mise à la terre du parasurtenseur ( Cable VJ 50mm²)</t>
  </si>
  <si>
    <t>7.10  Isolation et étanchéiété des pénétrations des feeders ( ROXTEC)</t>
  </si>
  <si>
    <t>6.7  Etanchéiété et mise à la terre du TGBT + tresse au niveau de la porte</t>
  </si>
  <si>
    <t>10.5 Etat et serrage de la boulonnerie</t>
  </si>
  <si>
    <t>8.2.6 Liaisons équipotentielles entre les portions du cablofil</t>
  </si>
  <si>
    <t>2.9  Presence d'une   télécomande en bonne etat pour split : Si applicable</t>
  </si>
  <si>
    <r>
      <t>1.6  Aprrarence générale des câbles électriques et de mise à la terre</t>
    </r>
    <r>
      <rPr>
        <sz val="9"/>
        <color indexed="10"/>
        <rFont val="Arial"/>
        <family val="2"/>
      </rPr>
      <t xml:space="preserve"> : Esthétique</t>
    </r>
  </si>
  <si>
    <t xml:space="preserve">7.4   porte du shelter (Etat , Apparence, Fixation , etanchiété, etat de la serure,poigné </t>
  </si>
  <si>
    <t>7.9 Mise a la terre exterieur &amp; interieur ( Etat et serrage de cables au niveau de la barette de terre principal du shelter)</t>
  </si>
  <si>
    <t>6.12 Etat du parasurtenseur ( Serrage des câbles sur le parasutenseur)</t>
  </si>
  <si>
    <t>6.11  les prises 220V ( Etat , connexion , emplacement , mise a la terre)</t>
  </si>
  <si>
    <t>3-b batteries</t>
  </si>
  <si>
    <t xml:space="preserve">3-a Baie D'energie </t>
  </si>
  <si>
    <t xml:space="preserve"> </t>
  </si>
  <si>
    <t xml:space="preserve">Audit Date:  </t>
  </si>
  <si>
    <t>3-a.1 Test de basculement concluant</t>
  </si>
  <si>
    <t>OTA Area</t>
  </si>
  <si>
    <t>name</t>
  </si>
  <si>
    <t>Site Code:</t>
  </si>
  <si>
    <t>TQM/O&amp;M/FO/027, REV: 01, Fevrier 2013</t>
  </si>
  <si>
    <t>TQM/O&amp;M/FO/027, REV: 03, Février 2015</t>
  </si>
  <si>
    <t>NA</t>
  </si>
  <si>
    <t xml:space="preserve">Mmanque quelque etiquetages </t>
  </si>
  <si>
    <t>7.8  Cage de FARADAY et liaisons équipotentielles à l'intérieur et à l'exterieur du shelter (Y compris la tresse au niveau de la porte)</t>
  </si>
  <si>
    <t>désherbage, nettoyage</t>
  </si>
  <si>
    <t>……….</t>
  </si>
  <si>
    <t>….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</si>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</sst>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13"/>
      <name val="Arial"/>
      <family val="2"/>
    </font>
    <font>
      <sz val="9"/>
      <color indexed="48"/>
      <name val="Arial"/>
      <family val="2"/>
    </font>
    <font>
      <b/>
      <sz val="9"/>
      <color indexed="48"/>
      <name val="Arial"/>
      <family val="2"/>
    </font>
    <font>
      <sz val="9"/>
      <color indexed="10"/>
      <name val="Arial"/>
      <family val="2"/>
    </font>
    <font>
      <u/>
      <sz val="9"/>
      <color indexed="10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b/>
      <sz val="10"/>
      <color theme="0"/>
      <name val="Arial"/>
      <family val="2"/>
    </font>
    <font>
      <b/>
      <sz val="16"/>
      <color theme="0"/>
      <name val="Arial"/>
      <family val="2"/>
    </font>
    <font>
      <sz val="16"/>
      <color theme="0"/>
      <name val="Arial"/>
      <family val="2"/>
    </font>
    <font>
      <b/>
      <sz val="9"/>
      <color theme="0"/>
      <name val="Arial"/>
      <family val="2"/>
    </font>
    <font>
      <b/>
      <sz val="11"/>
      <color theme="1"/>
      <name val="Arial"/>
      <family val="2"/>
    </font>
    <font>
      <b/>
      <sz val="18"/>
      <color theme="0"/>
      <name val="Arial"/>
      <family val="2"/>
    </font>
    <font>
      <b/>
      <sz val="24"/>
      <color theme="1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9" fontId="1" fillId="0" borderId="0" applyFont="0" applyFill="0" applyBorder="0" applyAlignment="0" applyProtection="0"/>
  </cellStyleXfs>
  <cellXfs count="184">
    <xf numFmtId="0" fontId="0" fillId="0" borderId="0" xfId="0"/>
    <xf numFmtId="0" fontId="7" fillId="0" borderId="0" xfId="0" applyFont="1"/>
    <xf numFmtId="0" fontId="7" fillId="0" borderId="1" xfId="0" applyFont="1" applyBorder="1" applyAlignment="1" applyProtection="1">
      <alignment horizontal="center"/>
      <protection locked="0"/>
    </xf>
    <xf numFmtId="14" fontId="7" fillId="0" borderId="1" xfId="0" applyNumberFormat="1" applyFont="1" applyBorder="1" applyAlignment="1" applyProtection="1">
      <alignment horizontal="center"/>
      <protection locked="0"/>
    </xf>
    <xf numFmtId="0" fontId="7" fillId="0" borderId="1" xfId="0" applyFont="1" applyFill="1" applyBorder="1" applyAlignment="1" applyProtection="1">
      <alignment horizontal="center"/>
      <protection locked="0"/>
    </xf>
    <xf numFmtId="0" fontId="7" fillId="0" borderId="1" xfId="1" applyFont="1" applyBorder="1" applyAlignment="1" applyProtection="1">
      <alignment vertical="center"/>
      <protection locked="0"/>
    </xf>
    <xf numFmtId="0" fontId="7" fillId="2" borderId="1" xfId="1" applyFont="1" applyFill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7" fillId="0" borderId="1" xfId="1" applyFont="1" applyBorder="1" applyAlignment="1" applyProtection="1">
      <alignment horizontal="left" vertical="center"/>
      <protection locked="0"/>
    </xf>
    <xf numFmtId="0" fontId="7" fillId="0" borderId="2" xfId="0" applyFont="1" applyFill="1" applyBorder="1" applyAlignment="1" applyProtection="1">
      <alignment wrapText="1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" xfId="0" applyFont="1" applyFill="1" applyBorder="1" applyAlignment="1" applyProtection="1">
      <alignment horizontal="center"/>
      <protection locked="0"/>
    </xf>
    <xf numFmtId="9" fontId="10" fillId="0" borderId="0" xfId="0" applyNumberFormat="1" applyFont="1" applyFill="1" applyBorder="1" applyAlignment="1" applyProtection="1">
      <alignment horizontal="center"/>
      <protection hidden="1"/>
    </xf>
    <xf numFmtId="0" fontId="7" fillId="0" borderId="1" xfId="1" applyFont="1" applyBorder="1" applyAlignment="1" applyProtection="1">
      <alignment horizontal="left" vertical="center" wrapText="1"/>
      <protection locked="0"/>
    </xf>
    <xf numFmtId="0" fontId="7" fillId="0" borderId="3" xfId="1" applyFont="1" applyFill="1" applyBorder="1" applyAlignment="1" applyProtection="1">
      <alignment vertical="center"/>
      <protection hidden="1"/>
    </xf>
    <xf numFmtId="0" fontId="0" fillId="0" borderId="0" xfId="0" applyBorder="1" applyAlignment="1"/>
    <xf numFmtId="0" fontId="7" fillId="0" borderId="0" xfId="0" applyFont="1" applyAlignment="1">
      <alignment wrapText="1"/>
    </xf>
    <xf numFmtId="0" fontId="7" fillId="0" borderId="1" xfId="0" applyFont="1" applyBorder="1" applyAlignment="1" applyProtection="1">
      <alignment horizontal="center" wrapText="1"/>
      <protection locked="0"/>
    </xf>
    <xf numFmtId="0" fontId="7" fillId="0" borderId="1" xfId="0" applyFont="1" applyFill="1" applyBorder="1" applyAlignment="1" applyProtection="1">
      <alignment horizontal="center" wrapText="1"/>
      <protection locked="0"/>
    </xf>
    <xf numFmtId="0" fontId="7" fillId="0" borderId="1" xfId="1" applyFont="1" applyBorder="1" applyAlignment="1" applyProtection="1">
      <alignment vertical="center" wrapText="1"/>
      <protection locked="0"/>
    </xf>
    <xf numFmtId="0" fontId="7" fillId="0" borderId="1" xfId="1" applyFont="1" applyFill="1" applyBorder="1" applyAlignment="1" applyProtection="1">
      <alignment vertical="center" wrapText="1"/>
      <protection locked="0"/>
    </xf>
    <xf numFmtId="0" fontId="9" fillId="0" borderId="1" xfId="1" applyFont="1" applyFill="1" applyBorder="1" applyAlignment="1" applyProtection="1">
      <alignment vertical="center" wrapText="1"/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10" fillId="0" borderId="1" xfId="0" applyFont="1" applyBorder="1" applyAlignment="1" applyProtection="1">
      <alignment horizontal="center" wrapText="1"/>
      <protection locked="0"/>
    </xf>
    <xf numFmtId="0" fontId="8" fillId="0" borderId="1" xfId="0" applyFont="1" applyBorder="1" applyAlignment="1" applyProtection="1">
      <alignment horizontal="center" wrapText="1"/>
      <protection locked="0"/>
    </xf>
    <xf numFmtId="0" fontId="7" fillId="0" borderId="0" xfId="0" applyFont="1" applyBorder="1" applyAlignment="1" applyProtection="1">
      <alignment wrapText="1"/>
      <protection hidden="1"/>
    </xf>
    <xf numFmtId="9" fontId="7" fillId="0" borderId="1" xfId="1" applyNumberFormat="1" applyFont="1" applyBorder="1" applyAlignment="1" applyProtection="1">
      <alignment vertical="center" wrapText="1"/>
      <protection locked="0"/>
    </xf>
    <xf numFmtId="9" fontId="7" fillId="0" borderId="1" xfId="0" applyNumberFormat="1" applyFont="1" applyFill="1" applyBorder="1" applyAlignment="1" applyProtection="1">
      <alignment horizontal="left" wrapText="1"/>
      <protection locked="0"/>
    </xf>
    <xf numFmtId="0" fontId="14" fillId="0" borderId="4" xfId="0" applyFont="1" applyFill="1" applyBorder="1"/>
    <xf numFmtId="0" fontId="14" fillId="0" borderId="5" xfId="0" applyFont="1" applyFill="1" applyBorder="1"/>
    <xf numFmtId="0" fontId="14" fillId="0" borderId="6" xfId="0" applyFont="1" applyFill="1" applyBorder="1"/>
    <xf numFmtId="0" fontId="14" fillId="0" borderId="0" xfId="0" applyFont="1" applyFill="1"/>
    <xf numFmtId="0" fontId="14" fillId="0" borderId="3" xfId="0" applyFont="1" applyFill="1" applyBorder="1"/>
    <xf numFmtId="0" fontId="14" fillId="0" borderId="0" xfId="0" applyFont="1" applyFill="1" applyBorder="1"/>
    <xf numFmtId="0" fontId="14" fillId="0" borderId="7" xfId="0" applyFont="1" applyFill="1" applyBorder="1"/>
    <xf numFmtId="0" fontId="14" fillId="0" borderId="8" xfId="0" applyFont="1" applyFill="1" applyBorder="1" applyAlignment="1">
      <alignment horizontal="center" vertical="top"/>
    </xf>
    <xf numFmtId="0" fontId="15" fillId="0" borderId="8" xfId="0" applyFont="1" applyFill="1" applyBorder="1" applyAlignment="1">
      <alignment horizontal="center" vertical="top"/>
    </xf>
    <xf numFmtId="0" fontId="16" fillId="0" borderId="8" xfId="0" applyFont="1" applyFill="1" applyBorder="1" applyAlignment="1">
      <alignment horizontal="center" vertical="center"/>
    </xf>
    <xf numFmtId="0" fontId="16" fillId="0" borderId="8" xfId="0" quotePrefix="1" applyFont="1" applyFill="1" applyBorder="1" applyAlignment="1">
      <alignment horizontal="center" vertical="center"/>
    </xf>
    <xf numFmtId="0" fontId="14" fillId="0" borderId="9" xfId="0" applyFont="1" applyFill="1" applyBorder="1"/>
    <xf numFmtId="0" fontId="2" fillId="3" borderId="10" xfId="0" applyFont="1" applyFill="1" applyBorder="1" applyAlignment="1" applyProtection="1">
      <alignment wrapText="1"/>
      <protection hidden="1"/>
    </xf>
    <xf numFmtId="9" fontId="2" fillId="3" borderId="11" xfId="0" applyNumberFormat="1" applyFont="1" applyFill="1" applyBorder="1" applyAlignment="1" applyProtection="1">
      <alignment horizontal="center"/>
      <protection hidden="1"/>
    </xf>
    <xf numFmtId="0" fontId="7" fillId="3" borderId="11" xfId="0" applyFont="1" applyFill="1" applyBorder="1" applyAlignment="1" applyProtection="1">
      <alignment horizontal="center" wrapText="1"/>
      <protection locked="0"/>
    </xf>
    <xf numFmtId="0" fontId="7" fillId="3" borderId="11" xfId="0" applyFont="1" applyFill="1" applyBorder="1" applyAlignment="1" applyProtection="1">
      <alignment horizontal="center"/>
      <protection locked="0"/>
    </xf>
    <xf numFmtId="0" fontId="7" fillId="3" borderId="12" xfId="0" applyFont="1" applyFill="1" applyBorder="1" applyAlignment="1" applyProtection="1">
      <alignment horizontal="center"/>
      <protection locked="0"/>
    </xf>
    <xf numFmtId="0" fontId="7" fillId="0" borderId="13" xfId="0" applyFont="1" applyFill="1" applyBorder="1" applyAlignment="1" applyProtection="1">
      <alignment wrapText="1"/>
      <protection hidden="1"/>
    </xf>
    <xf numFmtId="0" fontId="7" fillId="0" borderId="14" xfId="0" applyFont="1" applyBorder="1" applyAlignment="1" applyProtection="1">
      <alignment horizontal="center"/>
      <protection locked="0"/>
    </xf>
    <xf numFmtId="0" fontId="8" fillId="0" borderId="13" xfId="0" applyFont="1" applyFill="1" applyBorder="1" applyAlignment="1" applyProtection="1">
      <alignment wrapText="1"/>
      <protection hidden="1"/>
    </xf>
    <xf numFmtId="0" fontId="8" fillId="0" borderId="15" xfId="0" applyFont="1" applyFill="1" applyBorder="1" applyAlignment="1" applyProtection="1">
      <alignment wrapText="1"/>
      <protection hidden="1"/>
    </xf>
    <xf numFmtId="0" fontId="7" fillId="0" borderId="16" xfId="0" applyFont="1" applyFill="1" applyBorder="1" applyAlignment="1" applyProtection="1">
      <alignment wrapText="1"/>
      <protection hidden="1"/>
    </xf>
    <xf numFmtId="0" fontId="7" fillId="0" borderId="17" xfId="0" applyFont="1" applyFill="1" applyBorder="1" applyAlignment="1" applyProtection="1">
      <alignment wrapText="1"/>
      <protection hidden="1"/>
    </xf>
    <xf numFmtId="0" fontId="7" fillId="0" borderId="18" xfId="0" applyFont="1" applyBorder="1" applyAlignment="1" applyProtection="1">
      <alignment horizontal="center" wrapText="1"/>
      <protection locked="0"/>
    </xf>
    <xf numFmtId="0" fontId="7" fillId="0" borderId="18" xfId="0" applyFont="1" applyBorder="1" applyAlignment="1" applyProtection="1">
      <alignment horizontal="center"/>
      <protection locked="0"/>
    </xf>
    <xf numFmtId="0" fontId="7" fillId="0" borderId="19" xfId="0" applyFont="1" applyBorder="1" applyAlignment="1" applyProtection="1">
      <alignment horizontal="center"/>
      <protection locked="0"/>
    </xf>
    <xf numFmtId="0" fontId="8" fillId="0" borderId="16" xfId="0" applyFont="1" applyFill="1" applyBorder="1" applyAlignment="1" applyProtection="1">
      <alignment wrapText="1"/>
      <protection hidden="1"/>
    </xf>
    <xf numFmtId="0" fontId="8" fillId="0" borderId="20" xfId="0" applyFont="1" applyFill="1" applyBorder="1" applyAlignment="1" applyProtection="1">
      <alignment wrapText="1"/>
      <protection hidden="1"/>
    </xf>
    <xf numFmtId="0" fontId="8" fillId="0" borderId="17" xfId="0" applyFont="1" applyFill="1" applyBorder="1" applyAlignment="1" applyProtection="1">
      <alignment wrapText="1"/>
      <protection hidden="1"/>
    </xf>
    <xf numFmtId="0" fontId="7" fillId="0" borderId="14" xfId="0" applyFont="1" applyFill="1" applyBorder="1" applyAlignment="1" applyProtection="1">
      <alignment horizontal="center"/>
      <protection locked="0"/>
    </xf>
    <xf numFmtId="0" fontId="10" fillId="3" borderId="11" xfId="0" applyFont="1" applyFill="1" applyBorder="1" applyAlignment="1" applyProtection="1">
      <alignment horizontal="center" wrapText="1"/>
      <protection locked="0"/>
    </xf>
    <xf numFmtId="0" fontId="10" fillId="3" borderId="11" xfId="0" applyFont="1" applyFill="1" applyBorder="1" applyAlignment="1" applyProtection="1">
      <alignment horizontal="center"/>
      <protection locked="0"/>
    </xf>
    <xf numFmtId="0" fontId="10" fillId="3" borderId="12" xfId="0" applyFont="1" applyFill="1" applyBorder="1" applyAlignment="1" applyProtection="1">
      <alignment horizontal="center"/>
      <protection locked="0"/>
    </xf>
    <xf numFmtId="0" fontId="10" fillId="0" borderId="14" xfId="0" applyFont="1" applyBorder="1" applyAlignment="1" applyProtection="1">
      <alignment horizontal="center"/>
      <protection locked="0"/>
    </xf>
    <xf numFmtId="0" fontId="10" fillId="0" borderId="18" xfId="0" applyFont="1" applyBorder="1" applyAlignment="1" applyProtection="1">
      <alignment horizontal="center" wrapText="1"/>
      <protection locked="0"/>
    </xf>
    <xf numFmtId="0" fontId="10" fillId="0" borderId="18" xfId="0" applyFont="1" applyBorder="1" applyAlignment="1" applyProtection="1">
      <alignment horizontal="center"/>
      <protection locked="0"/>
    </xf>
    <xf numFmtId="0" fontId="10" fillId="0" borderId="19" xfId="0" applyFont="1" applyBorder="1" applyAlignment="1" applyProtection="1">
      <alignment horizontal="center"/>
      <protection locked="0"/>
    </xf>
    <xf numFmtId="0" fontId="8" fillId="0" borderId="3" xfId="0" applyFont="1" applyFill="1" applyBorder="1" applyAlignment="1" applyProtection="1">
      <alignment wrapText="1"/>
      <protection hidden="1"/>
    </xf>
    <xf numFmtId="0" fontId="7" fillId="0" borderId="21" xfId="0" applyFont="1" applyFill="1" applyBorder="1" applyAlignment="1" applyProtection="1">
      <alignment wrapText="1"/>
      <protection hidden="1"/>
    </xf>
    <xf numFmtId="0" fontId="7" fillId="0" borderId="0" xfId="0" applyFont="1" applyBorder="1" applyAlignment="1">
      <alignment wrapText="1"/>
    </xf>
    <xf numFmtId="0" fontId="7" fillId="0" borderId="22" xfId="0" applyFont="1" applyFill="1" applyBorder="1" applyAlignment="1" applyProtection="1">
      <alignment wrapText="1"/>
      <protection locked="0"/>
    </xf>
    <xf numFmtId="0" fontId="7" fillId="0" borderId="18" xfId="0" applyFont="1" applyFill="1" applyBorder="1" applyAlignment="1" applyProtection="1">
      <alignment horizontal="center"/>
      <protection locked="0"/>
    </xf>
    <xf numFmtId="0" fontId="7" fillId="0" borderId="19" xfId="0" applyFont="1" applyFill="1" applyBorder="1" applyAlignment="1" applyProtection="1">
      <alignment horizontal="center"/>
      <protection locked="0"/>
    </xf>
    <xf numFmtId="0" fontId="8" fillId="0" borderId="21" xfId="0" applyFont="1" applyFill="1" applyBorder="1" applyAlignment="1" applyProtection="1">
      <alignment wrapText="1"/>
      <protection hidden="1"/>
    </xf>
    <xf numFmtId="0" fontId="7" fillId="0" borderId="20" xfId="0" applyFont="1" applyFill="1" applyBorder="1" applyAlignment="1" applyProtection="1">
      <alignment wrapText="1"/>
      <protection hidden="1"/>
    </xf>
    <xf numFmtId="0" fontId="7" fillId="3" borderId="11" xfId="0" applyFont="1" applyFill="1" applyBorder="1" applyAlignment="1" applyProtection="1">
      <alignment vertical="center" wrapText="1"/>
      <protection locked="0"/>
    </xf>
    <xf numFmtId="0" fontId="7" fillId="3" borderId="11" xfId="0" applyFont="1" applyFill="1" applyBorder="1" applyAlignment="1" applyProtection="1">
      <alignment vertical="center"/>
      <protection locked="0"/>
    </xf>
    <xf numFmtId="0" fontId="7" fillId="3" borderId="12" xfId="0" applyFont="1" applyFill="1" applyBorder="1" applyAlignment="1" applyProtection="1">
      <alignment vertical="center"/>
      <protection locked="0"/>
    </xf>
    <xf numFmtId="0" fontId="7" fillId="0" borderId="21" xfId="1" applyFont="1" applyFill="1" applyBorder="1" applyAlignment="1" applyProtection="1">
      <alignment horizontal="left" vertical="center"/>
      <protection hidden="1"/>
    </xf>
    <xf numFmtId="0" fontId="7" fillId="0" borderId="14" xfId="1" applyFont="1" applyBorder="1" applyAlignment="1" applyProtection="1">
      <alignment horizontal="left" vertical="center"/>
      <protection locked="0"/>
    </xf>
    <xf numFmtId="0" fontId="7" fillId="0" borderId="16" xfId="1" applyFont="1" applyFill="1" applyBorder="1" applyAlignment="1" applyProtection="1">
      <alignment horizontal="left" vertical="center"/>
      <protection hidden="1"/>
    </xf>
    <xf numFmtId="0" fontId="7" fillId="0" borderId="17" xfId="1" applyFont="1" applyFill="1" applyBorder="1" applyAlignment="1" applyProtection="1">
      <alignment horizontal="left" vertical="center"/>
      <protection hidden="1"/>
    </xf>
    <xf numFmtId="0" fontId="7" fillId="0" borderId="18" xfId="1" applyFont="1" applyBorder="1" applyAlignment="1" applyProtection="1">
      <alignment horizontal="left" vertical="center" wrapText="1"/>
      <protection locked="0"/>
    </xf>
    <xf numFmtId="0" fontId="7" fillId="0" borderId="18" xfId="1" applyFont="1" applyBorder="1" applyAlignment="1" applyProtection="1">
      <alignment horizontal="left" vertical="center"/>
      <protection locked="0"/>
    </xf>
    <xf numFmtId="0" fontId="7" fillId="0" borderId="19" xfId="1" applyFont="1" applyBorder="1" applyAlignment="1" applyProtection="1">
      <alignment horizontal="left" vertical="center"/>
      <protection locked="0"/>
    </xf>
    <xf numFmtId="0" fontId="7" fillId="0" borderId="14" xfId="1" applyFont="1" applyBorder="1" applyAlignment="1" applyProtection="1">
      <alignment vertical="center"/>
      <protection locked="0"/>
    </xf>
    <xf numFmtId="0" fontId="7" fillId="0" borderId="16" xfId="1" applyFont="1" applyFill="1" applyBorder="1" applyAlignment="1" applyProtection="1">
      <alignment vertical="center"/>
      <protection hidden="1"/>
    </xf>
    <xf numFmtId="0" fontId="7" fillId="0" borderId="14" xfId="1" applyFont="1" applyBorder="1" applyAlignment="1" applyProtection="1">
      <alignment horizontal="left" vertical="center" wrapText="1"/>
      <protection locked="0"/>
    </xf>
    <xf numFmtId="0" fontId="7" fillId="2" borderId="14" xfId="1" applyFont="1" applyFill="1" applyBorder="1" applyAlignment="1" applyProtection="1">
      <alignment vertical="center"/>
      <protection locked="0"/>
    </xf>
    <xf numFmtId="0" fontId="7" fillId="0" borderId="14" xfId="0" applyFont="1" applyBorder="1" applyAlignment="1" applyProtection="1">
      <alignment vertical="center"/>
      <protection locked="0"/>
    </xf>
    <xf numFmtId="0" fontId="7" fillId="0" borderId="18" xfId="0" applyFont="1" applyBorder="1" applyAlignment="1" applyProtection="1">
      <alignment vertical="center" wrapText="1"/>
      <protection locked="0"/>
    </xf>
    <xf numFmtId="0" fontId="7" fillId="0" borderId="18" xfId="0" applyFont="1" applyBorder="1" applyAlignment="1" applyProtection="1">
      <alignment vertical="center"/>
      <protection locked="0"/>
    </xf>
    <xf numFmtId="0" fontId="7" fillId="0" borderId="19" xfId="0" applyFont="1" applyBorder="1" applyAlignment="1" applyProtection="1">
      <alignment vertical="center"/>
      <protection locked="0"/>
    </xf>
    <xf numFmtId="0" fontId="2" fillId="3" borderId="11" xfId="0" applyFont="1" applyFill="1" applyBorder="1" applyAlignment="1" applyProtection="1">
      <alignment horizontal="center" wrapText="1"/>
      <protection locked="0"/>
    </xf>
    <xf numFmtId="0" fontId="2" fillId="3" borderId="11" xfId="0" applyFont="1" applyFill="1" applyBorder="1" applyAlignment="1" applyProtection="1">
      <alignment horizontal="center"/>
      <protection locked="0"/>
    </xf>
    <xf numFmtId="0" fontId="2" fillId="3" borderId="12" xfId="0" applyFont="1" applyFill="1" applyBorder="1" applyAlignment="1" applyProtection="1">
      <alignment horizontal="center"/>
      <protection locked="0"/>
    </xf>
    <xf numFmtId="0" fontId="17" fillId="4" borderId="23" xfId="0" applyFont="1" applyFill="1" applyBorder="1" applyAlignment="1" applyProtection="1">
      <alignment horizontal="center" vertical="center" wrapText="1"/>
      <protection hidden="1"/>
    </xf>
    <xf numFmtId="0" fontId="17" fillId="4" borderId="23" xfId="0" applyFont="1" applyFill="1" applyBorder="1" applyAlignment="1" applyProtection="1">
      <alignment horizontal="center" vertical="center" wrapText="1"/>
      <protection locked="0"/>
    </xf>
    <xf numFmtId="0" fontId="17" fillId="5" borderId="0" xfId="0" applyFont="1" applyFill="1" applyBorder="1" applyAlignment="1" applyProtection="1">
      <alignment horizontal="center" vertical="center" wrapText="1"/>
      <protection hidden="1"/>
    </xf>
    <xf numFmtId="0" fontId="18" fillId="6" borderId="24" xfId="0" applyFont="1" applyFill="1" applyBorder="1" applyAlignment="1" applyProtection="1">
      <alignment horizontal="center" wrapText="1"/>
      <protection hidden="1"/>
    </xf>
    <xf numFmtId="9" fontId="19" fillId="6" borderId="18" xfId="0" applyNumberFormat="1" applyFont="1" applyFill="1" applyBorder="1" applyAlignment="1" applyProtection="1">
      <alignment horizontal="center"/>
      <protection hidden="1"/>
    </xf>
    <xf numFmtId="0" fontId="19" fillId="6" borderId="18" xfId="0" applyFont="1" applyFill="1" applyBorder="1" applyAlignment="1" applyProtection="1">
      <alignment wrapText="1"/>
      <protection hidden="1"/>
    </xf>
    <xf numFmtId="0" fontId="19" fillId="6" borderId="18" xfId="0" applyFont="1" applyFill="1" applyBorder="1" applyProtection="1">
      <protection hidden="1"/>
    </xf>
    <xf numFmtId="0" fontId="19" fillId="6" borderId="19" xfId="0" applyFont="1" applyFill="1" applyBorder="1" applyProtection="1">
      <protection hidden="1"/>
    </xf>
    <xf numFmtId="9" fontId="7" fillId="7" borderId="1" xfId="0" applyNumberFormat="1" applyFont="1" applyFill="1" applyBorder="1" applyAlignment="1" applyProtection="1">
      <alignment horizontal="center"/>
      <protection hidden="1"/>
    </xf>
    <xf numFmtId="9" fontId="8" fillId="7" borderId="1" xfId="0" applyNumberFormat="1" applyFont="1" applyFill="1" applyBorder="1" applyAlignment="1" applyProtection="1">
      <alignment horizontal="center"/>
      <protection hidden="1"/>
    </xf>
    <xf numFmtId="9" fontId="8" fillId="7" borderId="0" xfId="0" applyNumberFormat="1" applyFont="1" applyFill="1" applyBorder="1" applyAlignment="1" applyProtection="1">
      <alignment horizontal="center"/>
      <protection hidden="1"/>
    </xf>
    <xf numFmtId="9" fontId="7" fillId="7" borderId="18" xfId="0" applyNumberFormat="1" applyFont="1" applyFill="1" applyBorder="1" applyAlignment="1" applyProtection="1">
      <alignment horizontal="center"/>
      <protection hidden="1"/>
    </xf>
    <xf numFmtId="9" fontId="7" fillId="7" borderId="1" xfId="0" applyNumberFormat="1" applyFont="1" applyFill="1" applyBorder="1" applyAlignment="1" applyProtection="1">
      <alignment horizontal="center" vertical="center"/>
      <protection hidden="1"/>
    </xf>
    <xf numFmtId="9" fontId="7" fillId="7" borderId="1" xfId="1" applyNumberFormat="1" applyFont="1" applyFill="1" applyBorder="1" applyAlignment="1" applyProtection="1">
      <alignment horizontal="center" vertical="center"/>
      <protection hidden="1"/>
    </xf>
    <xf numFmtId="9" fontId="7" fillId="7" borderId="18" xfId="1" applyNumberFormat="1" applyFont="1" applyFill="1" applyBorder="1" applyAlignment="1" applyProtection="1">
      <alignment horizontal="center" vertical="center"/>
      <protection hidden="1"/>
    </xf>
    <xf numFmtId="0" fontId="7" fillId="0" borderId="4" xfId="0" applyFont="1" applyBorder="1"/>
    <xf numFmtId="0" fontId="7" fillId="0" borderId="5" xfId="0" applyFont="1" applyBorder="1"/>
    <xf numFmtId="0" fontId="7" fillId="0" borderId="5" xfId="0" applyFont="1" applyBorder="1" applyAlignment="1">
      <alignment wrapText="1"/>
    </xf>
    <xf numFmtId="0" fontId="7" fillId="0" borderId="6" xfId="0" applyFont="1" applyBorder="1"/>
    <xf numFmtId="0" fontId="7" fillId="0" borderId="3" xfId="0" applyFont="1" applyBorder="1"/>
    <xf numFmtId="0" fontId="7" fillId="0" borderId="0" xfId="0" applyFont="1" applyBorder="1"/>
    <xf numFmtId="0" fontId="7" fillId="0" borderId="7" xfId="0" applyFont="1" applyBorder="1"/>
    <xf numFmtId="0" fontId="7" fillId="0" borderId="25" xfId="0" applyFont="1" applyBorder="1" applyAlignment="1" applyProtection="1">
      <alignment horizontal="center" wrapText="1"/>
      <protection hidden="1"/>
    </xf>
    <xf numFmtId="0" fontId="6" fillId="0" borderId="8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wrapText="1"/>
      <protection hidden="1"/>
    </xf>
    <xf numFmtId="0" fontId="7" fillId="0" borderId="8" xfId="0" applyFont="1" applyBorder="1" applyProtection="1">
      <protection hidden="1"/>
    </xf>
    <xf numFmtId="0" fontId="7" fillId="0" borderId="9" xfId="0" applyFont="1" applyBorder="1" applyProtection="1">
      <protection hidden="1"/>
    </xf>
    <xf numFmtId="0" fontId="20" fillId="6" borderId="10" xfId="0" applyFont="1" applyFill="1" applyBorder="1" applyAlignment="1" applyProtection="1">
      <protection locked="0"/>
    </xf>
    <xf numFmtId="0" fontId="20" fillId="6" borderId="16" xfId="0" applyFont="1" applyFill="1" applyBorder="1" applyAlignment="1" applyProtection="1">
      <protection locked="0"/>
    </xf>
    <xf numFmtId="0" fontId="20" fillId="6" borderId="17" xfId="0" applyFont="1" applyFill="1" applyBorder="1" applyAlignment="1" applyProtection="1">
      <protection locked="0"/>
    </xf>
    <xf numFmtId="9" fontId="2" fillId="8" borderId="1" xfId="0" applyNumberFormat="1" applyFont="1" applyFill="1" applyBorder="1" applyAlignment="1" applyProtection="1">
      <alignment horizontal="center"/>
      <protection hidden="1"/>
    </xf>
    <xf numFmtId="0" fontId="10" fillId="8" borderId="1" xfId="0" applyFont="1" applyFill="1" applyBorder="1" applyAlignment="1" applyProtection="1">
      <alignment horizontal="center" wrapText="1"/>
      <protection locked="0"/>
    </xf>
    <xf numFmtId="0" fontId="10" fillId="8" borderId="1" xfId="0" applyFont="1" applyFill="1" applyBorder="1" applyAlignment="1" applyProtection="1">
      <alignment horizontal="center"/>
      <protection locked="0"/>
    </xf>
    <xf numFmtId="0" fontId="10" fillId="8" borderId="14" xfId="0" applyFont="1" applyFill="1" applyBorder="1" applyAlignment="1" applyProtection="1">
      <alignment horizontal="center"/>
      <protection locked="0"/>
    </xf>
    <xf numFmtId="0" fontId="21" fillId="8" borderId="21" xfId="0" applyFont="1" applyFill="1" applyBorder="1" applyAlignment="1" applyProtection="1">
      <alignment wrapText="1"/>
      <protection hidden="1"/>
    </xf>
    <xf numFmtId="0" fontId="21" fillId="8" borderId="16" xfId="0" applyFont="1" applyFill="1" applyBorder="1" applyAlignment="1" applyProtection="1">
      <alignment wrapText="1"/>
      <protection hidden="1"/>
    </xf>
    <xf numFmtId="0" fontId="22" fillId="6" borderId="24" xfId="0" applyFont="1" applyFill="1" applyBorder="1" applyAlignment="1" applyProtection="1">
      <alignment horizontal="center"/>
      <protection hidden="1"/>
    </xf>
    <xf numFmtId="0" fontId="7" fillId="0" borderId="4" xfId="0" applyFont="1" applyBorder="1" applyProtection="1">
      <protection hidden="1"/>
    </xf>
    <xf numFmtId="9" fontId="7" fillId="0" borderId="5" xfId="0" applyNumberFormat="1" applyFont="1" applyBorder="1" applyAlignment="1" applyProtection="1">
      <alignment horizontal="center"/>
      <protection hidden="1"/>
    </xf>
    <xf numFmtId="1" fontId="11" fillId="0" borderId="5" xfId="0" applyNumberFormat="1" applyFont="1" applyFill="1" applyBorder="1" applyAlignment="1" applyProtection="1">
      <alignment horizontal="center"/>
      <protection hidden="1"/>
    </xf>
    <xf numFmtId="9" fontId="11" fillId="0" borderId="5" xfId="0" applyNumberFormat="1" applyFont="1" applyFill="1" applyBorder="1" applyAlignment="1" applyProtection="1">
      <alignment horizontal="center"/>
      <protection hidden="1"/>
    </xf>
    <xf numFmtId="0" fontId="7" fillId="0" borderId="5" xfId="0" applyFont="1" applyBorder="1" applyAlignment="1" applyProtection="1">
      <alignment wrapText="1"/>
      <protection hidden="1"/>
    </xf>
    <xf numFmtId="0" fontId="7" fillId="0" borderId="5" xfId="0" applyFont="1" applyBorder="1" applyProtection="1">
      <protection hidden="1"/>
    </xf>
    <xf numFmtId="0" fontId="7" fillId="0" borderId="6" xfId="0" applyFont="1" applyBorder="1" applyProtection="1">
      <protection hidden="1"/>
    </xf>
    <xf numFmtId="0" fontId="7" fillId="0" borderId="0" xfId="0" applyFont="1" applyBorder="1" applyProtection="1">
      <protection hidden="1"/>
    </xf>
    <xf numFmtId="0" fontId="7" fillId="0" borderId="7" xfId="0" applyFont="1" applyBorder="1" applyProtection="1">
      <protection hidden="1"/>
    </xf>
    <xf numFmtId="0" fontId="7" fillId="0" borderId="8" xfId="0" applyFont="1" applyBorder="1"/>
    <xf numFmtId="0" fontId="7" fillId="0" borderId="8" xfId="0" applyFont="1" applyBorder="1" applyAlignment="1">
      <alignment wrapText="1"/>
    </xf>
    <xf numFmtId="0" fontId="7" fillId="0" borderId="9" xfId="0" applyFont="1" applyBorder="1"/>
    <xf numFmtId="9" fontId="7" fillId="7" borderId="1" xfId="0" applyNumberFormat="1" applyFont="1" applyFill="1" applyBorder="1" applyAlignment="1" applyProtection="1">
      <alignment horizontal="center"/>
      <protection locked="0"/>
    </xf>
    <xf numFmtId="9" fontId="7" fillId="7" borderId="18" xfId="0" applyNumberFormat="1" applyFont="1" applyFill="1" applyBorder="1" applyAlignment="1" applyProtection="1">
      <alignment horizontal="center"/>
      <protection locked="0"/>
    </xf>
    <xf numFmtId="9" fontId="7" fillId="7" borderId="1" xfId="1" applyNumberFormat="1" applyFont="1" applyFill="1" applyBorder="1" applyAlignment="1" applyProtection="1">
      <alignment horizontal="center" vertical="center"/>
      <protection locked="0"/>
    </xf>
    <xf numFmtId="9" fontId="7" fillId="7" borderId="1" xfId="0" applyNumberFormat="1" applyFont="1" applyFill="1" applyBorder="1" applyAlignment="1" applyProtection="1">
      <alignment horizontal="center" vertical="center"/>
      <protection locked="0"/>
    </xf>
    <xf numFmtId="9" fontId="7" fillId="7" borderId="18" xfId="1" applyNumberFormat="1" applyFont="1" applyFill="1" applyBorder="1" applyAlignment="1" applyProtection="1">
      <alignment horizontal="center" vertical="center"/>
      <protection locked="0"/>
    </xf>
    <xf numFmtId="9" fontId="8" fillId="7" borderId="1" xfId="0" applyNumberFormat="1" applyFont="1" applyFill="1" applyBorder="1" applyAlignment="1" applyProtection="1">
      <alignment horizontal="center"/>
      <protection locked="0"/>
    </xf>
    <xf numFmtId="9" fontId="8" fillId="7" borderId="0" xfId="0" applyNumberFormat="1" applyFont="1" applyFill="1" applyBorder="1" applyAlignment="1" applyProtection="1">
      <alignment horizontal="center"/>
      <protection locked="0"/>
    </xf>
    <xf numFmtId="0" fontId="14" fillId="0" borderId="25" xfId="0" applyFont="1" applyFill="1" applyBorder="1" applyAlignment="1">
      <alignment horizontal="center" vertical="top"/>
    </xf>
    <xf numFmtId="0" fontId="0" fillId="0" borderId="26" xfId="0" applyBorder="1"/>
    <xf numFmtId="0" fontId="16" fillId="0" borderId="9" xfId="0" applyFont="1" applyFill="1" applyBorder="1" applyAlignment="1">
      <alignment horizontal="center" vertical="center"/>
    </xf>
    <xf numFmtId="0" fontId="0" fillId="0" borderId="3" xfId="0" applyBorder="1"/>
    <xf numFmtId="0" fontId="0" fillId="0" borderId="0" xfId="0" applyBorder="1"/>
    <xf numFmtId="0" fontId="0" fillId="0" borderId="7" xfId="0" applyBorder="1"/>
    <xf numFmtId="0" fontId="0" fillId="0" borderId="25" xfId="0" applyBorder="1"/>
    <xf numFmtId="0" fontId="0" fillId="0" borderId="8" xfId="0" applyBorder="1"/>
    <xf numFmtId="0" fontId="0" fillId="0" borderId="9" xfId="0" applyBorder="1"/>
    <xf numFmtId="0" fontId="7" fillId="0" borderId="2" xfId="0" applyFont="1" applyFill="1" applyBorder="1" applyAlignment="1" applyProtection="1">
      <alignment horizontal="center" wrapText="1"/>
      <protection locked="0"/>
    </xf>
    <xf numFmtId="0" fontId="22" fillId="7" borderId="1" xfId="0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Alignment="1">
      <alignment horizontal="center" wrapText="1"/>
    </xf>
    <xf numFmtId="0" fontId="6" fillId="0" borderId="12" xfId="0" applyFont="1" applyBorder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14" fontId="6" fillId="0" borderId="19" xfId="0" applyNumberFormat="1" applyFont="1" applyBorder="1" applyAlignment="1" applyProtection="1">
      <alignment horizontal="center"/>
      <protection locked="0"/>
    </xf>
    <xf numFmtId="0" fontId="0" fillId="0" borderId="29" xfId="0" applyBorder="1" applyAlignment="1"/>
    <xf numFmtId="0" fontId="0" fillId="0" borderId="30" xfId="0" applyBorder="1" applyAlignment="1"/>
    <xf numFmtId="0" fontId="7" fillId="0" borderId="1" xfId="0" applyFont="1" applyBorder="1" applyAlignment="1">
      <alignment wrapText="1"/>
    </xf>
    <xf numFmtId="0" fontId="2" fillId="7" borderId="0" xfId="0" applyFont="1" applyFill="1"/>
    <xf numFmtId="0" fontId="7" fillId="7" borderId="0" xfId="0" applyFont="1" applyFill="1"/>
    <xf numFmtId="0" fontId="24" fillId="4" borderId="37" xfId="0" applyFont="1" applyFill="1" applyBorder="1" applyAlignment="1" applyProtection="1">
      <alignment vertical="center" wrapText="1"/>
      <protection hidden="1"/>
    </xf>
    <xf numFmtId="0" fontId="24" fillId="4" borderId="28" xfId="0" applyFont="1" applyFill="1" applyBorder="1" applyAlignment="1" applyProtection="1">
      <alignment vertical="center" wrapText="1"/>
      <protection hidden="1"/>
    </xf>
    <xf numFmtId="0" fontId="24" fillId="4" borderId="27" xfId="0" applyFont="1" applyFill="1" applyBorder="1" applyAlignment="1" applyProtection="1">
      <alignment vertical="center" wrapText="1"/>
      <protection hidden="1"/>
    </xf>
    <xf numFmtId="0" fontId="24" fillId="4" borderId="5" xfId="0" applyFont="1" applyFill="1" applyBorder="1" applyAlignment="1" applyProtection="1">
      <alignment vertical="center" wrapText="1"/>
      <protection hidden="1"/>
    </xf>
    <xf numFmtId="0" fontId="26" fillId="0" borderId="1" xfId="0" applyFont="1" applyBorder="1" applyAlignment="1" applyProtection="1">
      <alignment horizontal="center" wrapText="1"/>
      <protection locked="0"/>
    </xf>
    <xf numFmtId="10" fontId="23" fillId="7" borderId="11" xfId="2" applyNumberFormat="1" applyFont="1" applyFill="1" applyBorder="1" applyAlignment="1" applyProtection="1">
      <alignment horizontal="center"/>
    </xf>
    <xf numFmtId="10" fontId="23" fillId="7" borderId="12" xfId="2" applyNumberFormat="1" applyFont="1" applyFill="1" applyBorder="1" applyAlignment="1" applyProtection="1">
      <alignment horizontal="center"/>
    </xf>
    <xf numFmtId="0" fontId="22" fillId="7" borderId="2" xfId="0" applyFont="1" applyFill="1" applyBorder="1" applyAlignment="1" applyProtection="1">
      <alignment horizontal="center" vertical="center" wrapText="1"/>
      <protection hidden="1"/>
    </xf>
    <xf numFmtId="0" fontId="22" fillId="7" borderId="31" xfId="0" applyFont="1" applyFill="1" applyBorder="1" applyAlignment="1" applyProtection="1">
      <alignment horizontal="center" vertical="center" wrapText="1"/>
      <protection hidden="1"/>
    </xf>
    <xf numFmtId="0" fontId="22" fillId="4" borderId="35" xfId="0" applyFont="1" applyFill="1" applyBorder="1" applyAlignment="1" applyProtection="1">
      <alignment horizontal="center" vertical="center" wrapText="1"/>
      <protection hidden="1"/>
    </xf>
    <xf numFmtId="0" fontId="22" fillId="4" borderId="36" xfId="0" applyFont="1" applyFill="1" applyBorder="1" applyAlignment="1" applyProtection="1">
      <alignment horizontal="center" vertical="center" wrapText="1"/>
      <protection hidden="1"/>
    </xf>
    <xf numFmtId="0" fontId="25" fillId="4" borderId="32" xfId="0" applyFont="1" applyFill="1" applyBorder="1" applyAlignment="1" applyProtection="1">
      <alignment horizontal="center" vertical="center" wrapText="1"/>
      <protection hidden="1"/>
    </xf>
    <xf numFmtId="0" fontId="25" fillId="4" borderId="34" xfId="0" applyFont="1" applyFill="1" applyBorder="1" applyAlignment="1" applyProtection="1">
      <alignment horizontal="center" vertical="center" wrapText="1"/>
      <protection hidden="1"/>
    </xf>
    <xf numFmtId="0" fontId="25" fillId="4" borderId="33" xfId="0" applyFont="1" applyFill="1" applyBorder="1" applyAlignment="1" applyProtection="1">
      <alignment horizontal="center" vertical="center" wrapText="1"/>
      <protection hidden="1"/>
    </xf>
  </cellXfs>
  <cellStyles count="3">
    <cellStyle name="Normal" xfId="0" builtinId="0"/>
    <cellStyle name="Normal_Sheet1" xfId="1"/>
    <cellStyle name="Pourcentage" xfId="2" builtinId="5"/>
  </cellStyles>
  <dxfs count="1">
    <dxf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4114800</xdr:colOff>
      <xdr:row>154</xdr:row>
      <xdr:rowOff>0</xdr:rowOff>
    </xdr:from>
    <xdr:to>
      <xdr:col>0</xdr:col>
      <xdr:colOff>4191000</xdr:colOff>
      <xdr:row>154</xdr:row>
      <xdr:rowOff>0</xdr:rowOff>
    </xdr:to>
    <xdr:sp macro="" textlink="">
      <xdr:nvSpPr>
        <xdr:cNvPr id="2437" name="AutoShape 14"/>
        <xdr:cNvSpPr>
          <a:spLocks noChangeArrowheads="1"/>
        </xdr:cNvSpPr>
      </xdr:nvSpPr>
      <xdr:spPr bwMode="auto">
        <a:xfrm>
          <a:off x="4114800" y="29165550"/>
          <a:ext cx="76200" cy="0"/>
        </a:xfrm>
        <a:prstGeom prst="wedgeEllipseCallout">
          <a:avLst>
            <a:gd name="adj1" fmla="val -37500"/>
            <a:gd name="adj2" fmla="val 21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1019175</xdr:colOff>
      <xdr:row>0</xdr:row>
      <xdr:rowOff>28575</xdr:rowOff>
    </xdr:from>
    <xdr:to>
      <xdr:col>6</xdr:col>
      <xdr:colOff>0</xdr:colOff>
      <xdr:row>2</xdr:row>
      <xdr:rowOff>517525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019175" y="28575"/>
          <a:ext cx="9591675" cy="1041400"/>
        </a:xfrm>
        <a:prstGeom prst="rect">
          <a:avLst/>
        </a:prstGeom>
        <a:noFill/>
        <a:ln w="38100">
          <a:noFill/>
          <a:miter lim="800000"/>
          <a:headEnd/>
          <a:tailEnd/>
        </a:ln>
      </xdr:spPr>
      <xdr:txBody>
        <a:bodyPr vertOverflow="clip" wrap="square" lIns="82296" tIns="54864" rIns="82296" bIns="0" anchor="t" upright="1"/>
        <a:lstStyle/>
        <a:p>
          <a:pPr algn="ctr" rtl="0">
            <a:defRPr sz="1000"/>
          </a:pPr>
          <a:r>
            <a:rPr lang="fr-FR" sz="3600" b="1" i="0" u="none" strike="noStrike" baseline="0">
              <a:solidFill>
                <a:srgbClr val="000000"/>
              </a:solidFill>
              <a:latin typeface="Tahoma"/>
              <a:cs typeface="Tahoma"/>
            </a:rPr>
            <a:t>Audit check-list                                          </a:t>
          </a:r>
          <a:r>
            <a:rPr lang="fr-FR" sz="1800" b="1" i="0" u="none" strike="noStrike" baseline="0">
              <a:solidFill>
                <a:srgbClr val="000000"/>
              </a:solidFill>
              <a:latin typeface="Tahoma"/>
              <a:cs typeface="Tahoma"/>
            </a:rPr>
            <a:t>shelter</a:t>
          </a:r>
        </a:p>
      </xdr:txBody>
    </xdr:sp>
    <xdr:clientData/>
  </xdr:twoCellAnchor>
  <xdr:twoCellAnchor editAs="oneCell">
    <xdr:from>
      <xdr:col>0</xdr:col>
      <xdr:colOff>219075</xdr:colOff>
      <xdr:row>0</xdr:row>
      <xdr:rowOff>123825</xdr:rowOff>
    </xdr:from>
    <xdr:to>
      <xdr:col>0</xdr:col>
      <xdr:colOff>990600</xdr:colOff>
      <xdr:row>2</xdr:row>
      <xdr:rowOff>428625</xdr:rowOff>
    </xdr:to>
    <xdr:pic>
      <xdr:nvPicPr>
        <xdr:cNvPr id="2439" name="Picture 8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9075" y="123825"/>
          <a:ext cx="771525" cy="857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1019177</xdr:colOff>
      <xdr:row>0</xdr:row>
      <xdr:rowOff>28575</xdr:rowOff>
    </xdr:from>
    <xdr:to>
      <xdr:col>1</xdr:col>
      <xdr:colOff>576225</xdr:colOff>
      <xdr:row>2</xdr:row>
      <xdr:rowOff>2475</xdr:rowOff>
    </xdr:to>
    <xdr:sp macro="" textlink="">
      <xdr:nvSpPr>
        <xdr:cNvPr id="2" name="Text Box 5"/>
        <xdr:cNvSpPr txBox="1">
          <a:spLocks noChangeArrowheads="1"/>
        </xdr:cNvSpPr>
      </xdr:nvSpPr>
      <xdr:spPr bwMode="auto">
        <a:xfrm>
          <a:off x="1019177" y="28575"/>
          <a:ext cx="1582698" cy="526350"/>
        </a:xfrm>
        <a:prstGeom prst="rect">
          <a:avLst/>
        </a:prstGeom>
        <a:noFill/>
        <a:ln w="38100">
          <a:noFill/>
          <a:miter lim="800000"/>
          <a:headEnd/>
          <a:tailEnd/>
        </a:ln>
      </xdr:spPr>
      <xdr:txBody>
        <a:bodyPr vertOverflow="clip" wrap="square" lIns="82296" tIns="54864" rIns="82296" bIns="0" anchor="t" upright="1"/>
        <a:lstStyle/>
        <a:p>
          <a:pPr algn="ctr" rtl="0">
            <a:defRPr sz="1000"/>
          </a:pPr>
          <a:r>
            <a:rPr lang="fr-FR" sz="3600" b="1" i="0" u="none" strike="noStrike" baseline="0">
              <a:solidFill>
                <a:srgbClr val="000000"/>
              </a:solidFill>
              <a:latin typeface="Tahoma"/>
              <a:cs typeface="Tahoma"/>
            </a:rPr>
            <a:t>Audit check-list                                          </a:t>
          </a:r>
          <a:r>
            <a:rPr lang="fr-FR" sz="1800" b="1" i="0" u="none" strike="noStrike" baseline="0">
              <a:solidFill>
                <a:srgbClr val="000000"/>
              </a:solidFill>
              <a:latin typeface="Tahoma"/>
              <a:cs typeface="Tahoma"/>
            </a:rPr>
            <a:t>image</a:t>
          </a:r>
        </a:p>
      </xdr:txBody>
    </xdr:sp>
    <xdr:clientData/>
  </xdr:twoCellAnchor>
  <xdr:twoCellAnchor editAs="oneCell">
    <xdr:from>
      <xdr:col>0</xdr:col>
      <xdr:colOff>66675</xdr:colOff>
      <xdr:row>0</xdr:row>
      <xdr:rowOff>47624</xdr:rowOff>
    </xdr:from>
    <xdr:to>
      <xdr:col>16383</xdr:col>
      <xdr:colOff>762000</xdr:colOff>
      <xdr:row>0</xdr:row>
      <xdr:rowOff>93343</xdr:rowOff>
    </xdr:to>
    <xdr:pic>
      <xdr:nvPicPr>
        <xdr:cNvPr id="5155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" y="47624"/>
          <a:ext cx="12490548425" cy="45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66676</xdr:colOff>
      <xdr:row>0</xdr:row>
      <xdr:rowOff>47626</xdr:rowOff>
    </xdr:from>
    <xdr:to>
      <xdr:col>0</xdr:col>
      <xdr:colOff>719914</xdr:colOff>
      <xdr:row>1</xdr:row>
      <xdr:rowOff>229286</xdr:rowOff>
    </xdr:to>
    <xdr:pic>
      <xdr:nvPicPr>
        <xdr:cNvPr id="5156" name="Picture 36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6" y="47626"/>
          <a:ext cx="653238" cy="4229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2006601</xdr:colOff>
      <xdr:row>8</xdr:row>
      <xdr:rowOff>5661</xdr:rowOff>
    </xdr:from>
    <xdr:to>
      <xdr:col>2</xdr:col>
      <xdr:colOff>50800</xdr:colOff>
      <xdr:row>9</xdr:row>
      <xdr:rowOff>212935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6601" y="1929711"/>
          <a:ext cx="2076449" cy="2759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62"/>
  <sheetViews>
    <sheetView showGridLines="0" tabSelected="1" topLeftCell="B25" workbookViewId="0">
      <selection activeCell="A40" sqref="A10:G151"/>
    </sheetView>
  </sheetViews>
  <sheetFormatPr baseColWidth="10" defaultColWidth="11.453125" defaultRowHeight="11.5" x14ac:dyDescent="0.25"/>
  <cols>
    <col min="1" max="1" width="70.453125" style="1" customWidth="1"/>
    <col min="2" max="2" width="15.453125" style="1" customWidth="1"/>
    <col min="3" max="3" width="18.7265625" style="1" bestFit="1" customWidth="1"/>
    <col min="4" max="4" width="12.26953125" style="1" bestFit="1" customWidth="1"/>
    <col min="5" max="5" width="33.26953125" style="16" customWidth="1"/>
    <col min="6" max="6" width="18" style="1" customWidth="1"/>
    <col min="7" max="7" width="7.81640625" style="1" customWidth="1"/>
    <col min="8" max="16384" width="11.453125" style="1"/>
  </cols>
  <sheetData>
    <row r="1" spans="1:7" s="31" customFormat="1" ht="19" customHeight="1" x14ac:dyDescent="0.35">
      <c r="A1" s="29"/>
      <c r="B1" s="29"/>
      <c r="C1" s="29"/>
      <c r="D1" s="29"/>
      <c r="E1" s="29"/>
      <c r="F1" s="29"/>
      <c r="G1" s="30"/>
    </row>
    <row r="2" spans="1:7" s="31" customFormat="1" ht="24.75" customHeight="1" x14ac:dyDescent="0.35">
      <c r="A2" s="33" t="s">
        <v>147</v>
      </c>
      <c r="B2" s="33"/>
      <c r="C2" s="33"/>
      <c r="D2" s="33"/>
      <c r="E2" s="33"/>
      <c r="F2" s="33"/>
      <c r="G2" s="34"/>
    </row>
    <row r="3" spans="1:7" s="31" customFormat="1" ht="43.9" customHeight="1" thickBot="1" x14ac:dyDescent="0.4">
      <c r="A3" s="35"/>
      <c r="B3" s="36"/>
      <c r="C3" s="37"/>
      <c r="D3" s="37"/>
      <c r="E3" s="38"/>
      <c r="F3" s="37"/>
      <c r="G3" s="39"/>
    </row>
    <row r="4" spans="1:7" ht="12" thickBot="1" x14ac:dyDescent="0.3">
      <c r="A4" s="109"/>
      <c r="B4" s="110"/>
      <c r="C4" s="110"/>
      <c r="D4" s="110"/>
      <c r="E4" s="111"/>
      <c r="F4" s="110"/>
      <c r="G4" s="112"/>
    </row>
    <row r="5" spans="1:7" ht="12.5" x14ac:dyDescent="0.25">
      <c r="A5" s="113"/>
      <c r="B5" s="121" t="s">
        <v>152</v>
      </c>
      <c r="C5" s="162" t="s">
        <v>159</v>
      </c>
      <c r="D5" s="15"/>
      <c r="E5" s="67"/>
      <c r="F5" s="114"/>
      <c r="G5" s="115"/>
    </row>
    <row r="6" spans="1:7" ht="12.5" x14ac:dyDescent="0.25">
      <c r="A6" s="113"/>
      <c r="B6" s="122" t="s">
        <v>150</v>
      </c>
      <c r="C6" s="163" t="s">
        <v>160</v>
      </c>
      <c r="D6" s="15"/>
      <c r="E6" s="67"/>
      <c r="F6" s="114"/>
      <c r="G6" s="115"/>
    </row>
    <row r="7" spans="1:7" ht="12.5" x14ac:dyDescent="0.25">
      <c r="A7" s="113"/>
      <c r="B7" s="122" t="s">
        <v>151</v>
      </c>
      <c r="C7" s="163" t="s">
        <v>160</v>
      </c>
      <c r="D7" s="15"/>
      <c r="E7" s="67"/>
      <c r="F7" s="114"/>
      <c r="G7" s="115"/>
    </row>
    <row r="8" spans="1:7" ht="13" thickBot="1" x14ac:dyDescent="0.3">
      <c r="A8" s="113"/>
      <c r="B8" s="123" t="s">
        <v>148</v>
      </c>
      <c r="C8" s="164" t="s">
        <v>161</v>
      </c>
      <c r="D8" s="15"/>
      <c r="E8" s="67"/>
      <c r="F8" s="114"/>
      <c r="G8" s="115"/>
    </row>
    <row r="9" spans="1:7" ht="12" thickBot="1" x14ac:dyDescent="0.3">
      <c r="A9" s="116"/>
      <c r="B9" s="117"/>
      <c r="C9" s="117"/>
      <c r="D9" s="117"/>
      <c r="E9" s="118"/>
      <c r="F9" s="119"/>
      <c r="G9" s="120"/>
    </row>
    <row r="10" spans="1:7" ht="26.5" thickBot="1" x14ac:dyDescent="0.3">
      <c r="A10" s="94" t="s">
        <v>11</v>
      </c>
      <c r="B10" s="94" t="s">
        <v>12</v>
      </c>
      <c r="C10" s="94" t="s">
        <v>13</v>
      </c>
      <c r="D10" s="94" t="s">
        <v>15</v>
      </c>
      <c r="E10" s="95" t="s">
        <v>16</v>
      </c>
      <c r="F10" s="95" t="s">
        <v>17</v>
      </c>
      <c r="G10" s="95" t="s">
        <v>14</v>
      </c>
    </row>
    <row r="11" spans="1:7" ht="15.5" x14ac:dyDescent="0.35">
      <c r="A11" s="40" t="s">
        <v>20</v>
      </c>
      <c r="B11" s="41">
        <f>SUM(B12:B20)</f>
        <v>0.99999999999999989</v>
      </c>
      <c r="C11" s="41">
        <f>SUM(C12:C20)</f>
        <v>0.99999999999999989</v>
      </c>
      <c r="D11" s="41">
        <f>IF(MIN(D12,D13,D18,D20)=0,0,SUM(D12:D20))</f>
        <v>0.91999999999999993</v>
      </c>
      <c r="E11" s="91"/>
      <c r="F11" s="92"/>
      <c r="G11" s="93"/>
    </row>
    <row r="12" spans="1:7" ht="23" x14ac:dyDescent="0.25">
      <c r="A12" s="54" t="s">
        <v>119</v>
      </c>
      <c r="B12" s="102">
        <v>0.1</v>
      </c>
      <c r="C12" s="102">
        <f t="shared" ref="C12:C20" si="0">IF(D12="NA","NA",B12)</f>
        <v>0.1</v>
      </c>
      <c r="D12" s="143">
        <v>7.0000000000000007E-2</v>
      </c>
      <c r="E12" s="17"/>
      <c r="F12" s="3"/>
      <c r="G12" s="46"/>
    </row>
    <row r="13" spans="1:7" x14ac:dyDescent="0.25">
      <c r="A13" s="54" t="s">
        <v>118</v>
      </c>
      <c r="B13" s="102">
        <v>0.15</v>
      </c>
      <c r="C13" s="102">
        <f t="shared" si="0"/>
        <v>0.15</v>
      </c>
      <c r="D13" s="143">
        <v>0.1</v>
      </c>
      <c r="E13" s="17"/>
      <c r="F13" s="3"/>
      <c r="G13" s="46"/>
    </row>
    <row r="14" spans="1:7" ht="23" x14ac:dyDescent="0.25">
      <c r="A14" s="54" t="s">
        <v>120</v>
      </c>
      <c r="B14" s="102">
        <v>0.15</v>
      </c>
      <c r="C14" s="102">
        <f t="shared" si="0"/>
        <v>0.15</v>
      </c>
      <c r="D14" s="143">
        <v>0.15</v>
      </c>
      <c r="E14" s="17"/>
      <c r="F14" s="2"/>
      <c r="G14" s="46"/>
    </row>
    <row r="15" spans="1:7" x14ac:dyDescent="0.25">
      <c r="A15" s="54" t="s">
        <v>117</v>
      </c>
      <c r="B15" s="102">
        <v>0.1</v>
      </c>
      <c r="C15" s="102">
        <f t="shared" si="0"/>
        <v>0.1</v>
      </c>
      <c r="D15" s="143">
        <v>0.1</v>
      </c>
      <c r="E15" s="17"/>
      <c r="F15" s="2"/>
      <c r="G15" s="46"/>
    </row>
    <row r="16" spans="1:7" x14ac:dyDescent="0.25">
      <c r="A16" s="54" t="s">
        <v>116</v>
      </c>
      <c r="B16" s="102">
        <v>0.1</v>
      </c>
      <c r="C16" s="102">
        <f t="shared" si="0"/>
        <v>0.1</v>
      </c>
      <c r="D16" s="143">
        <v>0.1</v>
      </c>
      <c r="E16" s="17"/>
      <c r="F16" s="2"/>
      <c r="G16" s="46"/>
    </row>
    <row r="17" spans="1:7" x14ac:dyDescent="0.25">
      <c r="A17" s="54" t="s">
        <v>140</v>
      </c>
      <c r="B17" s="102">
        <v>0.1</v>
      </c>
      <c r="C17" s="102">
        <f t="shared" si="0"/>
        <v>0.1</v>
      </c>
      <c r="D17" s="143">
        <v>0.1</v>
      </c>
      <c r="E17" s="17"/>
      <c r="F17" s="2"/>
      <c r="G17" s="46"/>
    </row>
    <row r="18" spans="1:7" x14ac:dyDescent="0.25">
      <c r="A18" s="54" t="s">
        <v>115</v>
      </c>
      <c r="B18" s="102">
        <v>0.1</v>
      </c>
      <c r="C18" s="102">
        <f t="shared" si="0"/>
        <v>0.1</v>
      </c>
      <c r="D18" s="143">
        <v>0.1</v>
      </c>
      <c r="E18" s="17"/>
      <c r="F18" s="2"/>
      <c r="G18" s="46"/>
    </row>
    <row r="19" spans="1:7" ht="23" x14ac:dyDescent="0.25">
      <c r="A19" s="54" t="s">
        <v>114</v>
      </c>
      <c r="B19" s="102">
        <v>0.1</v>
      </c>
      <c r="C19" s="102">
        <f t="shared" si="0"/>
        <v>0.1</v>
      </c>
      <c r="D19" s="143">
        <v>0.1</v>
      </c>
      <c r="E19" s="17"/>
      <c r="F19" s="2"/>
      <c r="G19" s="46"/>
    </row>
    <row r="20" spans="1:7" ht="12" thickBot="1" x14ac:dyDescent="0.3">
      <c r="A20" s="50" t="s">
        <v>57</v>
      </c>
      <c r="B20" s="105">
        <v>0.1</v>
      </c>
      <c r="C20" s="105">
        <f t="shared" si="0"/>
        <v>0.1</v>
      </c>
      <c r="D20" s="144">
        <v>0.1</v>
      </c>
      <c r="E20" s="51"/>
      <c r="F20" s="52"/>
      <c r="G20" s="53"/>
    </row>
    <row r="21" spans="1:7" ht="15.5" x14ac:dyDescent="0.35">
      <c r="A21" s="40" t="s">
        <v>21</v>
      </c>
      <c r="B21" s="41">
        <f>SUM(B22:B30)</f>
        <v>1</v>
      </c>
      <c r="C21" s="41">
        <f>SUM(C22:C30)</f>
        <v>1</v>
      </c>
      <c r="D21" s="41">
        <f>IF(MIN(D22,D29)=0,0,SUM(D22:D30))</f>
        <v>1</v>
      </c>
      <c r="E21" s="42"/>
      <c r="F21" s="43"/>
      <c r="G21" s="44"/>
    </row>
    <row r="22" spans="1:7" x14ac:dyDescent="0.25">
      <c r="A22" s="54" t="s">
        <v>113</v>
      </c>
      <c r="B22" s="102">
        <v>0.25</v>
      </c>
      <c r="C22" s="102">
        <f t="shared" ref="C22:C30" si="1">IF(D22="NA","NA",B22)</f>
        <v>0.25</v>
      </c>
      <c r="D22" s="143">
        <v>0.25</v>
      </c>
      <c r="E22" s="18"/>
      <c r="F22" s="4"/>
      <c r="G22" s="57"/>
    </row>
    <row r="23" spans="1:7" x14ac:dyDescent="0.25">
      <c r="A23" s="54" t="s">
        <v>112</v>
      </c>
      <c r="B23" s="102">
        <v>0.1</v>
      </c>
      <c r="C23" s="102">
        <f t="shared" si="1"/>
        <v>0.1</v>
      </c>
      <c r="D23" s="143">
        <v>0.1</v>
      </c>
      <c r="E23" s="18"/>
      <c r="F23" s="4"/>
      <c r="G23" s="57"/>
    </row>
    <row r="24" spans="1:7" x14ac:dyDescent="0.25">
      <c r="A24" s="54" t="s">
        <v>111</v>
      </c>
      <c r="B24" s="102">
        <v>0.1</v>
      </c>
      <c r="C24" s="102">
        <f t="shared" si="1"/>
        <v>0.1</v>
      </c>
      <c r="D24" s="143">
        <v>0.1</v>
      </c>
      <c r="E24" s="18"/>
      <c r="F24" s="4"/>
      <c r="G24" s="57"/>
    </row>
    <row r="25" spans="1:7" x14ac:dyDescent="0.25">
      <c r="A25" s="54" t="s">
        <v>110</v>
      </c>
      <c r="B25" s="102">
        <v>0.15</v>
      </c>
      <c r="C25" s="102">
        <f t="shared" si="1"/>
        <v>0.15</v>
      </c>
      <c r="D25" s="143">
        <v>0.15</v>
      </c>
      <c r="E25" s="18"/>
      <c r="F25" s="4"/>
      <c r="G25" s="57"/>
    </row>
    <row r="26" spans="1:7" x14ac:dyDescent="0.25">
      <c r="A26" s="54" t="s">
        <v>109</v>
      </c>
      <c r="B26" s="102">
        <v>0.05</v>
      </c>
      <c r="C26" s="102">
        <f t="shared" si="1"/>
        <v>0.05</v>
      </c>
      <c r="D26" s="143">
        <v>0.05</v>
      </c>
      <c r="E26" s="18"/>
      <c r="F26" s="4"/>
      <c r="G26" s="57"/>
    </row>
    <row r="27" spans="1:7" x14ac:dyDescent="0.25">
      <c r="A27" s="54" t="s">
        <v>108</v>
      </c>
      <c r="B27" s="102">
        <v>0.05</v>
      </c>
      <c r="C27" s="102">
        <f t="shared" si="1"/>
        <v>0.05</v>
      </c>
      <c r="D27" s="143">
        <v>0.05</v>
      </c>
      <c r="E27" s="17"/>
      <c r="F27" s="2"/>
      <c r="G27" s="46"/>
    </row>
    <row r="28" spans="1:7" ht="23" x14ac:dyDescent="0.25">
      <c r="A28" s="54" t="s">
        <v>107</v>
      </c>
      <c r="B28" s="102">
        <v>0.1</v>
      </c>
      <c r="C28" s="102">
        <f t="shared" si="1"/>
        <v>0.1</v>
      </c>
      <c r="D28" s="143">
        <v>0.1</v>
      </c>
      <c r="E28" s="17"/>
      <c r="F28" s="2"/>
      <c r="G28" s="46"/>
    </row>
    <row r="29" spans="1:7" ht="23" x14ac:dyDescent="0.25">
      <c r="A29" s="55" t="s">
        <v>106</v>
      </c>
      <c r="B29" s="102">
        <v>0.15</v>
      </c>
      <c r="C29" s="102">
        <f t="shared" si="1"/>
        <v>0.15</v>
      </c>
      <c r="D29" s="143">
        <v>0.15</v>
      </c>
      <c r="E29" s="17"/>
      <c r="F29" s="2"/>
      <c r="G29" s="46"/>
    </row>
    <row r="30" spans="1:7" ht="12" thickBot="1" x14ac:dyDescent="0.3">
      <c r="A30" s="50" t="s">
        <v>139</v>
      </c>
      <c r="B30" s="105">
        <v>0.05</v>
      </c>
      <c r="C30" s="105">
        <f t="shared" si="1"/>
        <v>0.05</v>
      </c>
      <c r="D30" s="144">
        <v>0.05</v>
      </c>
      <c r="E30" s="51"/>
      <c r="F30" s="52"/>
      <c r="G30" s="53"/>
    </row>
    <row r="31" spans="1:7" ht="15.5" x14ac:dyDescent="0.35">
      <c r="A31" s="40" t="s">
        <v>146</v>
      </c>
      <c r="B31" s="41">
        <f>SUM(B32:B43)</f>
        <v>1</v>
      </c>
      <c r="C31" s="41">
        <f>SUM(C32:C43)</f>
        <v>1</v>
      </c>
      <c r="D31" s="41">
        <v>1</v>
      </c>
      <c r="E31" s="73"/>
      <c r="F31" s="74"/>
      <c r="G31" s="75"/>
    </row>
    <row r="32" spans="1:7" x14ac:dyDescent="0.25">
      <c r="A32" s="14" t="s">
        <v>149</v>
      </c>
      <c r="B32" s="107">
        <v>0.15</v>
      </c>
      <c r="C32" s="102">
        <f t="shared" ref="C32:C43" si="2">IF(D32="NA","NA",B32)</f>
        <v>0.15</v>
      </c>
      <c r="D32" s="145">
        <v>0.15</v>
      </c>
      <c r="E32" s="26"/>
      <c r="F32" s="5"/>
      <c r="G32" s="83"/>
    </row>
    <row r="33" spans="1:7" x14ac:dyDescent="0.25">
      <c r="A33" s="84" t="s">
        <v>71</v>
      </c>
      <c r="B33" s="107">
        <v>0.1</v>
      </c>
      <c r="C33" s="102">
        <f t="shared" si="2"/>
        <v>0.1</v>
      </c>
      <c r="D33" s="145">
        <v>0.1</v>
      </c>
      <c r="E33" s="20"/>
      <c r="F33" s="5"/>
      <c r="G33" s="83"/>
    </row>
    <row r="34" spans="1:7" x14ac:dyDescent="0.25">
      <c r="A34" s="84" t="s">
        <v>105</v>
      </c>
      <c r="B34" s="107">
        <v>0.1</v>
      </c>
      <c r="C34" s="102">
        <f t="shared" si="2"/>
        <v>0.1</v>
      </c>
      <c r="D34" s="145">
        <v>0.1</v>
      </c>
      <c r="E34" s="13"/>
      <c r="F34" s="13"/>
      <c r="G34" s="85"/>
    </row>
    <row r="35" spans="1:7" x14ac:dyDescent="0.25">
      <c r="A35" s="84" t="s">
        <v>104</v>
      </c>
      <c r="B35" s="107">
        <v>0.1</v>
      </c>
      <c r="C35" s="102">
        <f t="shared" si="2"/>
        <v>0.1</v>
      </c>
      <c r="D35" s="145">
        <v>0.1</v>
      </c>
      <c r="E35" s="13"/>
      <c r="F35" s="8"/>
      <c r="G35" s="77"/>
    </row>
    <row r="36" spans="1:7" x14ac:dyDescent="0.25">
      <c r="A36" s="84" t="s">
        <v>103</v>
      </c>
      <c r="B36" s="106">
        <v>0.05</v>
      </c>
      <c r="C36" s="102">
        <f t="shared" si="2"/>
        <v>0.05</v>
      </c>
      <c r="D36" s="146">
        <v>0.05</v>
      </c>
      <c r="E36" s="13"/>
      <c r="F36" s="8"/>
      <c r="G36" s="77"/>
    </row>
    <row r="37" spans="1:7" x14ac:dyDescent="0.25">
      <c r="A37" s="84" t="s">
        <v>102</v>
      </c>
      <c r="B37" s="107">
        <v>0.15</v>
      </c>
      <c r="C37" s="102">
        <f t="shared" si="2"/>
        <v>0.15</v>
      </c>
      <c r="D37" s="145">
        <v>0.15</v>
      </c>
      <c r="E37" s="13"/>
      <c r="F37" s="8"/>
      <c r="G37" s="77"/>
    </row>
    <row r="38" spans="1:7" x14ac:dyDescent="0.25">
      <c r="A38" s="84" t="s">
        <v>101</v>
      </c>
      <c r="B38" s="106">
        <v>0.1</v>
      </c>
      <c r="C38" s="102">
        <f t="shared" si="2"/>
        <v>0.1</v>
      </c>
      <c r="D38" s="146">
        <v>0.1</v>
      </c>
      <c r="E38" s="21"/>
      <c r="F38" s="6"/>
      <c r="G38" s="86"/>
    </row>
    <row r="39" spans="1:7" x14ac:dyDescent="0.25">
      <c r="A39" s="84" t="s">
        <v>100</v>
      </c>
      <c r="B39" s="107">
        <v>0.05</v>
      </c>
      <c r="C39" s="102">
        <f t="shared" si="2"/>
        <v>0.05</v>
      </c>
      <c r="D39" s="145">
        <v>0.05</v>
      </c>
      <c r="E39" s="21"/>
      <c r="F39" s="7"/>
      <c r="G39" s="87"/>
    </row>
    <row r="40" spans="1:7" x14ac:dyDescent="0.25">
      <c r="A40" s="78" t="s">
        <v>99</v>
      </c>
      <c r="B40" s="107">
        <v>0.05</v>
      </c>
      <c r="C40" s="102">
        <f t="shared" si="2"/>
        <v>0.05</v>
      </c>
      <c r="D40" s="145">
        <v>0.05</v>
      </c>
      <c r="E40" s="19"/>
      <c r="F40" s="5"/>
      <c r="G40" s="83"/>
    </row>
    <row r="41" spans="1:7" x14ac:dyDescent="0.25">
      <c r="A41" s="78" t="s">
        <v>72</v>
      </c>
      <c r="B41" s="107">
        <v>0.05</v>
      </c>
      <c r="C41" s="102">
        <f t="shared" si="2"/>
        <v>0.05</v>
      </c>
      <c r="D41" s="145">
        <v>0.05</v>
      </c>
      <c r="E41" s="19"/>
      <c r="F41" s="5"/>
      <c r="G41" s="83"/>
    </row>
    <row r="42" spans="1:7" x14ac:dyDescent="0.25">
      <c r="A42" s="78" t="s">
        <v>73</v>
      </c>
      <c r="B42" s="107">
        <v>0.05</v>
      </c>
      <c r="C42" s="102">
        <f t="shared" si="2"/>
        <v>0.05</v>
      </c>
      <c r="D42" s="145">
        <v>0.05</v>
      </c>
      <c r="E42" s="22"/>
      <c r="F42" s="7"/>
      <c r="G42" s="87"/>
    </row>
    <row r="43" spans="1:7" ht="12" thickBot="1" x14ac:dyDescent="0.3">
      <c r="A43" s="79" t="s">
        <v>74</v>
      </c>
      <c r="B43" s="108">
        <v>0.05</v>
      </c>
      <c r="C43" s="105">
        <f t="shared" si="2"/>
        <v>0.05</v>
      </c>
      <c r="D43" s="147">
        <v>0.05</v>
      </c>
      <c r="E43" s="88"/>
      <c r="F43" s="89"/>
      <c r="G43" s="90"/>
    </row>
    <row r="44" spans="1:7" ht="15.5" x14ac:dyDescent="0.35">
      <c r="A44" s="40" t="s">
        <v>145</v>
      </c>
      <c r="B44" s="41">
        <f>SUM(B45:B53)</f>
        <v>1</v>
      </c>
      <c r="C44" s="41">
        <f>SUM(C45:C53)</f>
        <v>1</v>
      </c>
      <c r="D44" s="41">
        <f>IF(MIN(D53)=0,0,SUM(D45:D53))</f>
        <v>1</v>
      </c>
      <c r="E44" s="73"/>
      <c r="F44" s="74"/>
      <c r="G44" s="75"/>
    </row>
    <row r="45" spans="1:7" x14ac:dyDescent="0.25">
      <c r="A45" s="76" t="s">
        <v>39</v>
      </c>
      <c r="B45" s="106">
        <v>0.1</v>
      </c>
      <c r="C45" s="102">
        <f t="shared" ref="C45:C53" si="3">IF(D45="NA","NA",B45)</f>
        <v>0.1</v>
      </c>
      <c r="D45" s="146">
        <v>0.1</v>
      </c>
      <c r="E45" s="13"/>
      <c r="F45" s="8"/>
      <c r="G45" s="77"/>
    </row>
    <row r="46" spans="1:7" x14ac:dyDescent="0.25">
      <c r="A46" s="78" t="s">
        <v>46</v>
      </c>
      <c r="B46" s="107">
        <v>0.15</v>
      </c>
      <c r="C46" s="102">
        <f t="shared" si="3"/>
        <v>0.15</v>
      </c>
      <c r="D46" s="145">
        <v>0.15</v>
      </c>
      <c r="E46" s="13"/>
      <c r="F46" s="8"/>
      <c r="G46" s="77"/>
    </row>
    <row r="47" spans="1:7" x14ac:dyDescent="0.25">
      <c r="A47" s="78" t="s">
        <v>47</v>
      </c>
      <c r="B47" s="107">
        <v>0.05</v>
      </c>
      <c r="C47" s="102">
        <f t="shared" si="3"/>
        <v>0.05</v>
      </c>
      <c r="D47" s="145">
        <v>0.05</v>
      </c>
      <c r="E47" s="13"/>
      <c r="F47" s="8"/>
      <c r="G47" s="77"/>
    </row>
    <row r="48" spans="1:7" x14ac:dyDescent="0.25">
      <c r="A48" s="78" t="s">
        <v>40</v>
      </c>
      <c r="B48" s="107">
        <v>0.1</v>
      </c>
      <c r="C48" s="102">
        <f t="shared" si="3"/>
        <v>0.1</v>
      </c>
      <c r="D48" s="145">
        <v>0.1</v>
      </c>
      <c r="E48" s="13"/>
      <c r="F48" s="8"/>
      <c r="G48" s="77"/>
    </row>
    <row r="49" spans="1:7" x14ac:dyDescent="0.25">
      <c r="A49" s="78" t="s">
        <v>48</v>
      </c>
      <c r="B49" s="107">
        <v>0.1</v>
      </c>
      <c r="C49" s="102">
        <f t="shared" si="3"/>
        <v>0.1</v>
      </c>
      <c r="D49" s="145">
        <v>0.1</v>
      </c>
      <c r="E49" s="13"/>
      <c r="F49" s="8"/>
      <c r="G49" s="77"/>
    </row>
    <row r="50" spans="1:7" x14ac:dyDescent="0.25">
      <c r="A50" s="78" t="s">
        <v>132</v>
      </c>
      <c r="B50" s="107">
        <v>0.1</v>
      </c>
      <c r="C50" s="102">
        <f t="shared" si="3"/>
        <v>0.1</v>
      </c>
      <c r="D50" s="145">
        <v>0.1</v>
      </c>
      <c r="E50" s="13"/>
      <c r="F50" s="8"/>
      <c r="G50" s="77"/>
    </row>
    <row r="51" spans="1:7" x14ac:dyDescent="0.25">
      <c r="A51" s="78" t="s">
        <v>129</v>
      </c>
      <c r="B51" s="107">
        <v>0.1</v>
      </c>
      <c r="C51" s="102">
        <f t="shared" si="3"/>
        <v>0.1</v>
      </c>
      <c r="D51" s="145">
        <v>0.1</v>
      </c>
      <c r="E51" s="13"/>
      <c r="F51" s="8"/>
      <c r="G51" s="77"/>
    </row>
    <row r="52" spans="1:7" x14ac:dyDescent="0.25">
      <c r="A52" s="78" t="s">
        <v>130</v>
      </c>
      <c r="B52" s="107">
        <v>0.1</v>
      </c>
      <c r="C52" s="102">
        <f t="shared" si="3"/>
        <v>0.1</v>
      </c>
      <c r="D52" s="145">
        <v>0.1</v>
      </c>
      <c r="E52" s="13"/>
      <c r="F52" s="8"/>
      <c r="G52" s="77"/>
    </row>
    <row r="53" spans="1:7" ht="12" thickBot="1" x14ac:dyDescent="0.3">
      <c r="A53" s="79" t="s">
        <v>131</v>
      </c>
      <c r="B53" s="108">
        <v>0.2</v>
      </c>
      <c r="C53" s="105">
        <f t="shared" si="3"/>
        <v>0.2</v>
      </c>
      <c r="D53" s="147">
        <v>0.2</v>
      </c>
      <c r="E53" s="80"/>
      <c r="F53" s="81"/>
      <c r="G53" s="82"/>
    </row>
    <row r="54" spans="1:7" ht="15.5" x14ac:dyDescent="0.35">
      <c r="A54" s="40" t="s">
        <v>22</v>
      </c>
      <c r="B54" s="41">
        <f>SUM(B55:B59)</f>
        <v>1</v>
      </c>
      <c r="C54" s="41">
        <f>SUM(C55:C59)</f>
        <v>1</v>
      </c>
      <c r="D54" s="41">
        <f>IF(MIN(D56,D58,D59)=0,0,SUM(D55:D59))</f>
        <v>1</v>
      </c>
      <c r="E54" s="42"/>
      <c r="F54" s="43"/>
      <c r="G54" s="44"/>
    </row>
    <row r="55" spans="1:7" x14ac:dyDescent="0.25">
      <c r="A55" s="71" t="s">
        <v>50</v>
      </c>
      <c r="B55" s="102">
        <v>0.15</v>
      </c>
      <c r="C55" s="102">
        <f>IF(D55="NA","NA",B55)</f>
        <v>0.15</v>
      </c>
      <c r="D55" s="143">
        <v>0.15</v>
      </c>
      <c r="E55" s="17"/>
      <c r="F55" s="2"/>
      <c r="G55" s="46"/>
    </row>
    <row r="56" spans="1:7" x14ac:dyDescent="0.25">
      <c r="A56" s="72" t="s">
        <v>51</v>
      </c>
      <c r="B56" s="102">
        <v>0.15</v>
      </c>
      <c r="C56" s="102">
        <f>IF(D56="NA","NA",B56)</f>
        <v>0.15</v>
      </c>
      <c r="D56" s="143">
        <v>0.15</v>
      </c>
      <c r="E56" s="159"/>
      <c r="F56" s="4"/>
      <c r="G56" s="57"/>
    </row>
    <row r="57" spans="1:7" x14ac:dyDescent="0.25">
      <c r="A57" s="49" t="s">
        <v>59</v>
      </c>
      <c r="B57" s="102">
        <v>0.1</v>
      </c>
      <c r="C57" s="102">
        <f>IF(D57="NA","NA",B57)</f>
        <v>0.1</v>
      </c>
      <c r="D57" s="143">
        <v>0.1</v>
      </c>
      <c r="E57" s="17"/>
      <c r="F57" s="2"/>
      <c r="G57" s="46"/>
    </row>
    <row r="58" spans="1:7" ht="12" thickBot="1" x14ac:dyDescent="0.3">
      <c r="A58" s="49" t="s">
        <v>60</v>
      </c>
      <c r="B58" s="102">
        <v>0.3</v>
      </c>
      <c r="C58" s="102">
        <f>IF(D58="NA","NA",B58)</f>
        <v>0.3</v>
      </c>
      <c r="D58" s="143">
        <v>0.3</v>
      </c>
      <c r="E58" s="51"/>
      <c r="F58" s="2"/>
      <c r="G58" s="46"/>
    </row>
    <row r="59" spans="1:7" ht="12" thickBot="1" x14ac:dyDescent="0.3">
      <c r="A59" s="50" t="s">
        <v>61</v>
      </c>
      <c r="B59" s="105">
        <v>0.3</v>
      </c>
      <c r="C59" s="105">
        <f>IF(D59="NA","NA",B59)</f>
        <v>0.3</v>
      </c>
      <c r="D59" s="144">
        <v>0.3</v>
      </c>
      <c r="E59" s="161"/>
      <c r="F59" s="52"/>
      <c r="G59" s="53"/>
    </row>
    <row r="60" spans="1:7" ht="15.5" x14ac:dyDescent="0.35">
      <c r="A60" s="40" t="s">
        <v>63</v>
      </c>
      <c r="B60" s="41">
        <f>SUM(B61:B72)</f>
        <v>1.0000000000000002</v>
      </c>
      <c r="C60" s="41">
        <f>SUM(C61:C72)</f>
        <v>1.0000000000000002</v>
      </c>
      <c r="D60" s="41">
        <f>IF(MIN(D61,D62,D63,D64,D66,D67)=0,0,SUM(D61:D72))</f>
        <v>1.0000000000000002</v>
      </c>
      <c r="E60" s="42"/>
      <c r="F60" s="43"/>
      <c r="G60" s="44"/>
    </row>
    <row r="61" spans="1:7" x14ac:dyDescent="0.25">
      <c r="A61" s="49" t="s">
        <v>62</v>
      </c>
      <c r="B61" s="102">
        <v>0.15</v>
      </c>
      <c r="C61" s="102">
        <f t="shared" ref="C61:C72" si="4">IF(D61="NA","NA",B61)</f>
        <v>0.15</v>
      </c>
      <c r="D61" s="143">
        <v>0.15</v>
      </c>
      <c r="E61" s="9"/>
      <c r="F61" s="4"/>
      <c r="G61" s="57"/>
    </row>
    <row r="62" spans="1:7" x14ac:dyDescent="0.25">
      <c r="A62" s="49" t="s">
        <v>55</v>
      </c>
      <c r="B62" s="102">
        <v>0.15</v>
      </c>
      <c r="C62" s="102">
        <f t="shared" si="4"/>
        <v>0.15</v>
      </c>
      <c r="D62" s="143">
        <v>0.15</v>
      </c>
      <c r="E62" s="9"/>
      <c r="F62" s="4"/>
      <c r="G62" s="57"/>
    </row>
    <row r="63" spans="1:7" x14ac:dyDescent="0.25">
      <c r="A63" s="49" t="s">
        <v>58</v>
      </c>
      <c r="B63" s="102">
        <v>0.1</v>
      </c>
      <c r="C63" s="102">
        <f t="shared" si="4"/>
        <v>0.1</v>
      </c>
      <c r="D63" s="143">
        <v>0.1</v>
      </c>
      <c r="F63" s="4"/>
      <c r="G63" s="57"/>
    </row>
    <row r="64" spans="1:7" ht="23" x14ac:dyDescent="0.25">
      <c r="A64" s="49" t="s">
        <v>45</v>
      </c>
      <c r="B64" s="102">
        <v>0.1</v>
      </c>
      <c r="C64" s="102">
        <f t="shared" si="4"/>
        <v>0.1</v>
      </c>
      <c r="D64" s="143">
        <v>0.1</v>
      </c>
      <c r="E64" s="20"/>
      <c r="F64" s="4"/>
      <c r="G64" s="57"/>
    </row>
    <row r="65" spans="1:7" x14ac:dyDescent="0.25">
      <c r="A65" s="49" t="s">
        <v>41</v>
      </c>
      <c r="B65" s="102">
        <v>0.05</v>
      </c>
      <c r="C65" s="102">
        <f t="shared" si="4"/>
        <v>0.05</v>
      </c>
      <c r="D65" s="143">
        <v>0.05</v>
      </c>
      <c r="F65" s="4"/>
      <c r="G65" s="57"/>
    </row>
    <row r="66" spans="1:7" x14ac:dyDescent="0.25">
      <c r="A66" s="49" t="s">
        <v>42</v>
      </c>
      <c r="B66" s="102">
        <v>0.1</v>
      </c>
      <c r="C66" s="102">
        <f t="shared" si="4"/>
        <v>0.1</v>
      </c>
      <c r="D66" s="143">
        <v>0.1</v>
      </c>
      <c r="E66" s="9"/>
      <c r="F66" s="4"/>
      <c r="G66" s="57"/>
    </row>
    <row r="67" spans="1:7" x14ac:dyDescent="0.25">
      <c r="A67" s="54" t="s">
        <v>43</v>
      </c>
      <c r="B67" s="102">
        <v>0.05</v>
      </c>
      <c r="C67" s="102">
        <f t="shared" si="4"/>
        <v>0.05</v>
      </c>
      <c r="D67" s="143">
        <v>0.05</v>
      </c>
      <c r="E67" s="17"/>
      <c r="F67" s="2"/>
      <c r="G67" s="46"/>
    </row>
    <row r="68" spans="1:7" x14ac:dyDescent="0.25">
      <c r="A68" s="49" t="s">
        <v>44</v>
      </c>
      <c r="B68" s="102">
        <v>0.05</v>
      </c>
      <c r="C68" s="102">
        <f t="shared" si="4"/>
        <v>0.05</v>
      </c>
      <c r="D68" s="143">
        <v>0.05</v>
      </c>
      <c r="E68" s="9"/>
      <c r="F68" s="4"/>
      <c r="G68" s="57"/>
    </row>
    <row r="69" spans="1:7" x14ac:dyDescent="0.25">
      <c r="A69" s="54" t="s">
        <v>53</v>
      </c>
      <c r="B69" s="102">
        <v>0.05</v>
      </c>
      <c r="C69" s="102">
        <f t="shared" si="4"/>
        <v>0.05</v>
      </c>
      <c r="D69" s="143">
        <v>0.05</v>
      </c>
      <c r="E69" s="17"/>
      <c r="F69" s="2"/>
      <c r="G69" s="46"/>
    </row>
    <row r="70" spans="1:7" x14ac:dyDescent="0.25">
      <c r="A70" s="54" t="s">
        <v>52</v>
      </c>
      <c r="B70" s="102">
        <v>0.1</v>
      </c>
      <c r="C70" s="102">
        <f t="shared" si="4"/>
        <v>0.1</v>
      </c>
      <c r="D70" s="143">
        <v>0.1</v>
      </c>
      <c r="E70" s="17"/>
      <c r="F70" s="2"/>
      <c r="G70" s="46"/>
    </row>
    <row r="71" spans="1:7" x14ac:dyDescent="0.25">
      <c r="A71" s="49" t="s">
        <v>70</v>
      </c>
      <c r="B71" s="102">
        <v>0.05</v>
      </c>
      <c r="C71" s="102">
        <f t="shared" si="4"/>
        <v>0.05</v>
      </c>
      <c r="D71" s="143">
        <v>0.05</v>
      </c>
      <c r="E71" s="17"/>
      <c r="F71" s="2"/>
      <c r="G71" s="46"/>
    </row>
    <row r="72" spans="1:7" ht="12" thickBot="1" x14ac:dyDescent="0.3">
      <c r="A72" s="50" t="s">
        <v>64</v>
      </c>
      <c r="B72" s="105">
        <v>0.05</v>
      </c>
      <c r="C72" s="105">
        <f t="shared" si="4"/>
        <v>0.05</v>
      </c>
      <c r="D72" s="144">
        <v>0.05</v>
      </c>
      <c r="E72" s="68"/>
      <c r="F72" s="69"/>
      <c r="G72" s="70"/>
    </row>
    <row r="73" spans="1:7" ht="15.5" x14ac:dyDescent="0.35">
      <c r="A73" s="40" t="s">
        <v>23</v>
      </c>
      <c r="B73" s="41">
        <f>SUM(B74:B86)</f>
        <v>1.0000000000000002</v>
      </c>
      <c r="C73" s="41">
        <f>SUM(C74:C86)</f>
        <v>1.0000000000000002</v>
      </c>
      <c r="D73" s="41">
        <f>IF(MIN(D79,D80,D81,D82,D85,D86)=0,0,SUM(D74:D86))</f>
        <v>0.91000000000000014</v>
      </c>
      <c r="E73" s="42"/>
      <c r="F73" s="43"/>
      <c r="G73" s="44"/>
    </row>
    <row r="74" spans="1:7" ht="23" x14ac:dyDescent="0.25">
      <c r="A74" s="66" t="s">
        <v>98</v>
      </c>
      <c r="B74" s="102">
        <v>0.15</v>
      </c>
      <c r="C74" s="102">
        <f>IF(D74="NA","NA",B74)</f>
        <v>0.15</v>
      </c>
      <c r="D74" s="143">
        <v>0.14000000000000001</v>
      </c>
      <c r="E74" s="18"/>
      <c r="F74" s="4"/>
      <c r="G74" s="57"/>
    </row>
    <row r="75" spans="1:7" x14ac:dyDescent="0.25">
      <c r="A75" s="49" t="s">
        <v>97</v>
      </c>
      <c r="B75" s="102">
        <v>0.05</v>
      </c>
      <c r="C75" s="102">
        <f>IF(D75="NA","NA",B75)</f>
        <v>0.05</v>
      </c>
      <c r="D75" s="143">
        <v>0.02</v>
      </c>
      <c r="E75" s="18"/>
      <c r="F75" s="4"/>
      <c r="G75" s="57"/>
    </row>
    <row r="76" spans="1:7" x14ac:dyDescent="0.25">
      <c r="A76" s="49" t="s">
        <v>96</v>
      </c>
      <c r="B76" s="102">
        <v>0.05</v>
      </c>
      <c r="C76" s="102">
        <f t="shared" ref="C76:C95" si="5">IF(D76="NA","NA",B76)</f>
        <v>0.05</v>
      </c>
      <c r="D76" s="143">
        <v>0</v>
      </c>
      <c r="E76" s="167"/>
      <c r="F76" s="4"/>
      <c r="G76" s="57"/>
    </row>
    <row r="77" spans="1:7" x14ac:dyDescent="0.25">
      <c r="A77" s="49" t="s">
        <v>95</v>
      </c>
      <c r="B77" s="102">
        <v>0.05</v>
      </c>
      <c r="C77" s="102">
        <f t="shared" si="5"/>
        <v>0.05</v>
      </c>
      <c r="D77" s="143">
        <v>0.05</v>
      </c>
      <c r="E77" s="67"/>
      <c r="F77" s="2"/>
      <c r="G77" s="46"/>
    </row>
    <row r="78" spans="1:7" x14ac:dyDescent="0.25">
      <c r="A78" s="49" t="s">
        <v>94</v>
      </c>
      <c r="B78" s="102">
        <v>0.05</v>
      </c>
      <c r="C78" s="102">
        <f t="shared" si="5"/>
        <v>0.05</v>
      </c>
      <c r="D78" s="143">
        <v>0.05</v>
      </c>
      <c r="E78" s="17"/>
      <c r="F78" s="2"/>
      <c r="G78" s="46"/>
    </row>
    <row r="79" spans="1:7" x14ac:dyDescent="0.25">
      <c r="A79" s="49" t="s">
        <v>93</v>
      </c>
      <c r="B79" s="102">
        <v>0.15</v>
      </c>
      <c r="C79" s="102">
        <f t="shared" si="5"/>
        <v>0.15</v>
      </c>
      <c r="D79" s="143">
        <v>0.15</v>
      </c>
      <c r="E79" s="17"/>
      <c r="F79" s="2"/>
      <c r="G79" s="46"/>
    </row>
    <row r="80" spans="1:7" x14ac:dyDescent="0.25">
      <c r="A80" s="49" t="s">
        <v>136</v>
      </c>
      <c r="B80" s="102">
        <v>0.05</v>
      </c>
      <c r="C80" s="102">
        <f t="shared" si="5"/>
        <v>0.05</v>
      </c>
      <c r="D80" s="143">
        <v>0.05</v>
      </c>
      <c r="E80" s="17"/>
      <c r="F80" s="2"/>
      <c r="G80" s="46"/>
    </row>
    <row r="81" spans="1:7" x14ac:dyDescent="0.25">
      <c r="A81" s="49" t="s">
        <v>92</v>
      </c>
      <c r="B81" s="102">
        <v>0.05</v>
      </c>
      <c r="C81" s="102">
        <f t="shared" si="5"/>
        <v>0.05</v>
      </c>
      <c r="D81" s="143">
        <v>0.05</v>
      </c>
      <c r="E81" s="17"/>
      <c r="F81" s="4"/>
      <c r="G81" s="57"/>
    </row>
    <row r="82" spans="1:7" x14ac:dyDescent="0.25">
      <c r="A82" s="49" t="s">
        <v>91</v>
      </c>
      <c r="B82" s="102">
        <v>0.05</v>
      </c>
      <c r="C82" s="102">
        <f t="shared" si="5"/>
        <v>0.05</v>
      </c>
      <c r="D82" s="143">
        <v>0.05</v>
      </c>
      <c r="E82" s="18"/>
      <c r="F82" s="4"/>
      <c r="G82" s="57"/>
    </row>
    <row r="83" spans="1:7" x14ac:dyDescent="0.25">
      <c r="A83" s="49" t="s">
        <v>56</v>
      </c>
      <c r="B83" s="102">
        <v>0.05</v>
      </c>
      <c r="C83" s="102">
        <f t="shared" si="5"/>
        <v>0.05</v>
      </c>
      <c r="D83" s="143">
        <v>0.05</v>
      </c>
      <c r="E83" s="9"/>
      <c r="F83" s="4"/>
      <c r="G83" s="57"/>
    </row>
    <row r="84" spans="1:7" x14ac:dyDescent="0.25">
      <c r="A84" s="49" t="s">
        <v>144</v>
      </c>
      <c r="B84" s="102">
        <v>0.05</v>
      </c>
      <c r="C84" s="102">
        <f t="shared" si="5"/>
        <v>0.05</v>
      </c>
      <c r="D84" s="143">
        <v>0.05</v>
      </c>
      <c r="E84" s="9"/>
      <c r="F84" s="4"/>
      <c r="G84" s="57"/>
    </row>
    <row r="85" spans="1:7" x14ac:dyDescent="0.25">
      <c r="A85" s="49" t="s">
        <v>143</v>
      </c>
      <c r="B85" s="102">
        <v>0.15</v>
      </c>
      <c r="C85" s="102">
        <f t="shared" si="5"/>
        <v>0.15</v>
      </c>
      <c r="D85" s="143">
        <v>0.15</v>
      </c>
      <c r="E85" s="9"/>
      <c r="F85" s="4"/>
      <c r="G85" s="57"/>
    </row>
    <row r="86" spans="1:7" ht="12" thickBot="1" x14ac:dyDescent="0.3">
      <c r="A86" s="50" t="s">
        <v>134</v>
      </c>
      <c r="B86" s="105">
        <v>0.1</v>
      </c>
      <c r="C86" s="105">
        <f t="shared" si="5"/>
        <v>0.1</v>
      </c>
      <c r="D86" s="144">
        <v>0.1</v>
      </c>
      <c r="E86" s="68"/>
      <c r="F86" s="69"/>
      <c r="G86" s="70"/>
    </row>
    <row r="87" spans="1:7" ht="15.5" x14ac:dyDescent="0.35">
      <c r="A87" s="40" t="s">
        <v>25</v>
      </c>
      <c r="B87" s="41">
        <f>SUM(B88:B95)</f>
        <v>0.99999999999999989</v>
      </c>
      <c r="C87" s="41">
        <f>SUM(C88:C95)</f>
        <v>0.99999999999999989</v>
      </c>
      <c r="D87" s="41">
        <f>IF(MIN(D89,D91,D95)=0,0,SUM(D88:D95))</f>
        <v>0.99999999999999989</v>
      </c>
      <c r="E87" s="42"/>
      <c r="F87" s="43"/>
      <c r="G87" s="44"/>
    </row>
    <row r="88" spans="1:7" ht="23" x14ac:dyDescent="0.25">
      <c r="A88" s="65" t="s">
        <v>90</v>
      </c>
      <c r="B88" s="102">
        <v>0.15</v>
      </c>
      <c r="C88" s="102">
        <f t="shared" si="5"/>
        <v>0.15</v>
      </c>
      <c r="D88" s="143">
        <v>0.15</v>
      </c>
      <c r="E88" s="17"/>
      <c r="F88" s="2"/>
      <c r="G88" s="46"/>
    </row>
    <row r="89" spans="1:7" x14ac:dyDescent="0.25">
      <c r="A89" s="54" t="s">
        <v>89</v>
      </c>
      <c r="B89" s="102">
        <v>0.2</v>
      </c>
      <c r="C89" s="102">
        <f t="shared" si="5"/>
        <v>0.2</v>
      </c>
      <c r="D89" s="143">
        <v>0.2</v>
      </c>
      <c r="E89" s="174"/>
      <c r="F89" s="2"/>
      <c r="G89" s="46"/>
    </row>
    <row r="90" spans="1:7" x14ac:dyDescent="0.25">
      <c r="A90" s="54" t="s">
        <v>88</v>
      </c>
      <c r="B90" s="102">
        <v>0.05</v>
      </c>
      <c r="C90" s="102">
        <f t="shared" si="5"/>
        <v>0.05</v>
      </c>
      <c r="D90" s="143">
        <v>0.05</v>
      </c>
      <c r="E90" s="17"/>
      <c r="F90" s="2"/>
      <c r="G90" s="46"/>
    </row>
    <row r="91" spans="1:7" x14ac:dyDescent="0.25">
      <c r="A91" s="54" t="s">
        <v>141</v>
      </c>
      <c r="B91" s="102">
        <v>0.15</v>
      </c>
      <c r="C91" s="102">
        <f t="shared" si="5"/>
        <v>0.15</v>
      </c>
      <c r="D91" s="143">
        <v>0.15</v>
      </c>
      <c r="E91" s="17"/>
      <c r="F91" s="2"/>
      <c r="G91" s="46"/>
    </row>
    <row r="92" spans="1:7" x14ac:dyDescent="0.25">
      <c r="A92" s="54" t="s">
        <v>87</v>
      </c>
      <c r="B92" s="102">
        <v>0.05</v>
      </c>
      <c r="C92" s="102">
        <f t="shared" si="5"/>
        <v>0.05</v>
      </c>
      <c r="D92" s="143">
        <v>0.05</v>
      </c>
      <c r="E92" s="17"/>
      <c r="F92" s="2"/>
      <c r="G92" s="46"/>
    </row>
    <row r="93" spans="1:7" ht="23" x14ac:dyDescent="0.25">
      <c r="A93" s="55" t="s">
        <v>157</v>
      </c>
      <c r="B93" s="102">
        <v>0.1</v>
      </c>
      <c r="C93" s="102">
        <f t="shared" si="5"/>
        <v>0.1</v>
      </c>
      <c r="D93" s="143">
        <v>0.1</v>
      </c>
      <c r="E93" s="17"/>
      <c r="F93" s="2"/>
      <c r="G93" s="46"/>
    </row>
    <row r="94" spans="1:7" ht="23" x14ac:dyDescent="0.25">
      <c r="A94" s="49" t="s">
        <v>142</v>
      </c>
      <c r="B94" s="102">
        <v>0.2</v>
      </c>
      <c r="C94" s="102">
        <f t="shared" si="5"/>
        <v>0.2</v>
      </c>
      <c r="D94" s="143">
        <v>0.2</v>
      </c>
      <c r="E94" s="17"/>
      <c r="F94" s="10"/>
      <c r="G94" s="61"/>
    </row>
    <row r="95" spans="1:7" ht="12" thickBot="1" x14ac:dyDescent="0.3">
      <c r="A95" s="50" t="s">
        <v>135</v>
      </c>
      <c r="B95" s="105">
        <v>0.1</v>
      </c>
      <c r="C95" s="105">
        <f t="shared" si="5"/>
        <v>0.1</v>
      </c>
      <c r="D95" s="144">
        <v>0.1</v>
      </c>
      <c r="E95" s="62"/>
      <c r="F95" s="63"/>
      <c r="G95" s="64"/>
    </row>
    <row r="96" spans="1:7" ht="15.5" x14ac:dyDescent="0.35">
      <c r="A96" s="40" t="s">
        <v>65</v>
      </c>
      <c r="B96" s="41">
        <f>SUM(B108,B101,B97)</f>
        <v>1</v>
      </c>
      <c r="C96" s="41">
        <f>SUM(C108,C101,C97)</f>
        <v>1</v>
      </c>
      <c r="D96" s="41">
        <f>SUM(D108,D101,D97)</f>
        <v>1</v>
      </c>
      <c r="E96" s="58"/>
      <c r="F96" s="59"/>
      <c r="G96" s="60"/>
    </row>
    <row r="97" spans="1:7" ht="15.5" x14ac:dyDescent="0.35">
      <c r="A97" s="128" t="s">
        <v>24</v>
      </c>
      <c r="B97" s="124">
        <f>SUM(B98:B100)</f>
        <v>0.4</v>
      </c>
      <c r="C97" s="124">
        <f>SUM(C98:C100)</f>
        <v>0.4</v>
      </c>
      <c r="D97" s="124">
        <f>SUM(D98:D100)</f>
        <v>0.4</v>
      </c>
      <c r="E97" s="125"/>
      <c r="F97" s="126"/>
      <c r="G97" s="127"/>
    </row>
    <row r="98" spans="1:7" x14ac:dyDescent="0.25">
      <c r="A98" s="54" t="s">
        <v>38</v>
      </c>
      <c r="B98" s="102">
        <v>0.1</v>
      </c>
      <c r="C98" s="102">
        <f t="shared" ref="C98:C150" si="6">IF(D98="NA","NA",B98)</f>
        <v>0.1</v>
      </c>
      <c r="D98" s="143">
        <v>0.1</v>
      </c>
      <c r="E98" s="23"/>
      <c r="F98" s="10"/>
      <c r="G98" s="61"/>
    </row>
    <row r="99" spans="1:7" x14ac:dyDescent="0.25">
      <c r="A99" s="54" t="s">
        <v>36</v>
      </c>
      <c r="B99" s="102">
        <v>0.2</v>
      </c>
      <c r="C99" s="102">
        <f t="shared" si="6"/>
        <v>0.2</v>
      </c>
      <c r="D99" s="143">
        <v>0.2</v>
      </c>
      <c r="E99" s="18"/>
      <c r="F99" s="10"/>
      <c r="G99" s="61"/>
    </row>
    <row r="100" spans="1:7" x14ac:dyDescent="0.25">
      <c r="A100" s="54" t="s">
        <v>37</v>
      </c>
      <c r="B100" s="102">
        <v>0.1</v>
      </c>
      <c r="C100" s="102">
        <f t="shared" si="6"/>
        <v>0.1</v>
      </c>
      <c r="D100" s="143">
        <v>0.1</v>
      </c>
      <c r="E100" s="23"/>
      <c r="F100" s="10"/>
      <c r="G100" s="61"/>
    </row>
    <row r="101" spans="1:7" ht="15.5" x14ac:dyDescent="0.35">
      <c r="A101" s="129" t="s">
        <v>26</v>
      </c>
      <c r="B101" s="124">
        <f>SUM(B102:B107)</f>
        <v>0.3</v>
      </c>
      <c r="C101" s="124">
        <f>SUM(C102:C107)</f>
        <v>0.3</v>
      </c>
      <c r="D101" s="124">
        <f>SUM(D102:D107)</f>
        <v>0.3</v>
      </c>
      <c r="E101" s="125"/>
      <c r="F101" s="126"/>
      <c r="G101" s="127"/>
    </row>
    <row r="102" spans="1:7" x14ac:dyDescent="0.25">
      <c r="A102" s="54" t="s">
        <v>28</v>
      </c>
      <c r="B102" s="102">
        <v>0.05</v>
      </c>
      <c r="C102" s="102">
        <f t="shared" si="6"/>
        <v>0.05</v>
      </c>
      <c r="D102" s="143">
        <v>0.05</v>
      </c>
      <c r="F102" s="11"/>
      <c r="G102" s="61"/>
    </row>
    <row r="103" spans="1:7" x14ac:dyDescent="0.25">
      <c r="A103" s="54" t="s">
        <v>29</v>
      </c>
      <c r="B103" s="102">
        <v>0.05</v>
      </c>
      <c r="C103" s="102">
        <f t="shared" si="6"/>
        <v>0.05</v>
      </c>
      <c r="D103" s="143">
        <v>0.05</v>
      </c>
      <c r="E103" s="18"/>
      <c r="F103" s="10"/>
      <c r="G103" s="61"/>
    </row>
    <row r="104" spans="1:7" x14ac:dyDescent="0.25">
      <c r="A104" s="49" t="s">
        <v>30</v>
      </c>
      <c r="B104" s="102">
        <v>0.05</v>
      </c>
      <c r="C104" s="102">
        <f t="shared" si="6"/>
        <v>0.05</v>
      </c>
      <c r="D104" s="143">
        <v>0.05</v>
      </c>
      <c r="E104" s="17"/>
      <c r="F104" s="10"/>
      <c r="G104" s="61"/>
    </row>
    <row r="105" spans="1:7" x14ac:dyDescent="0.25">
      <c r="A105" s="49" t="s">
        <v>31</v>
      </c>
      <c r="B105" s="102">
        <v>0.05</v>
      </c>
      <c r="C105" s="102">
        <f t="shared" si="6"/>
        <v>0.05</v>
      </c>
      <c r="D105" s="143">
        <v>0.05</v>
      </c>
      <c r="E105" s="23"/>
      <c r="F105" s="10"/>
      <c r="G105" s="61"/>
    </row>
    <row r="106" spans="1:7" x14ac:dyDescent="0.25">
      <c r="A106" s="49" t="s">
        <v>32</v>
      </c>
      <c r="B106" s="102">
        <v>0.05</v>
      </c>
      <c r="C106" s="102">
        <f t="shared" si="6"/>
        <v>0.05</v>
      </c>
      <c r="D106" s="143">
        <v>0.05</v>
      </c>
      <c r="E106" s="23"/>
      <c r="F106" s="10"/>
      <c r="G106" s="61"/>
    </row>
    <row r="107" spans="1:7" x14ac:dyDescent="0.25">
      <c r="A107" s="49" t="s">
        <v>138</v>
      </c>
      <c r="B107" s="102">
        <v>0.05</v>
      </c>
      <c r="C107" s="102">
        <f t="shared" si="6"/>
        <v>0.05</v>
      </c>
      <c r="D107" s="143">
        <v>0.05</v>
      </c>
      <c r="E107" s="23"/>
      <c r="F107" s="10"/>
      <c r="G107" s="61"/>
    </row>
    <row r="108" spans="1:7" ht="15.5" x14ac:dyDescent="0.35">
      <c r="A108" s="129" t="s">
        <v>27</v>
      </c>
      <c r="B108" s="124">
        <f>SUM(B109:B111)</f>
        <v>0.30000000000000004</v>
      </c>
      <c r="C108" s="124">
        <f>SUM(C109:C111)</f>
        <v>0.30000000000000004</v>
      </c>
      <c r="D108" s="124">
        <f>IF(MIN(D109)=0,0,SUM(D109:D111))</f>
        <v>0.30000000000000004</v>
      </c>
      <c r="E108" s="125"/>
      <c r="F108" s="126"/>
      <c r="G108" s="127"/>
    </row>
    <row r="109" spans="1:7" x14ac:dyDescent="0.25">
      <c r="A109" s="54" t="s">
        <v>33</v>
      </c>
      <c r="B109" s="102">
        <v>0.1</v>
      </c>
      <c r="C109" s="102">
        <f t="shared" si="6"/>
        <v>0.1</v>
      </c>
      <c r="D109" s="143">
        <v>0.1</v>
      </c>
      <c r="E109" s="23"/>
      <c r="F109" s="10"/>
      <c r="G109" s="61"/>
    </row>
    <row r="110" spans="1:7" x14ac:dyDescent="0.25">
      <c r="A110" s="54" t="s">
        <v>34</v>
      </c>
      <c r="B110" s="102">
        <v>0.1</v>
      </c>
      <c r="C110" s="102">
        <f t="shared" si="6"/>
        <v>0.1</v>
      </c>
      <c r="D110" s="143">
        <v>0.1</v>
      </c>
      <c r="E110" s="24"/>
      <c r="F110" s="10"/>
      <c r="G110" s="61"/>
    </row>
    <row r="111" spans="1:7" ht="12" thickBot="1" x14ac:dyDescent="0.3">
      <c r="A111" s="56" t="s">
        <v>35</v>
      </c>
      <c r="B111" s="105">
        <v>0.1</v>
      </c>
      <c r="C111" s="105">
        <f t="shared" si="6"/>
        <v>0.1</v>
      </c>
      <c r="D111" s="144">
        <v>0.1</v>
      </c>
      <c r="E111" s="62"/>
      <c r="F111" s="63"/>
      <c r="G111" s="64"/>
    </row>
    <row r="112" spans="1:7" ht="15.5" x14ac:dyDescent="0.35">
      <c r="A112" s="40" t="s">
        <v>18</v>
      </c>
      <c r="B112" s="41">
        <f>SUM(B113:B122)</f>
        <v>1.0000000000000002</v>
      </c>
      <c r="C112" s="41">
        <f>SUM(C113:C122)</f>
        <v>1.0000000000000002</v>
      </c>
      <c r="D112" s="41">
        <f>IF(MIN(D115,D118,D119)=0,0,SUM(D113:D122))</f>
        <v>0.87000000000000022</v>
      </c>
      <c r="E112" s="42"/>
      <c r="F112" s="43"/>
      <c r="G112" s="44"/>
    </row>
    <row r="113" spans="1:7" ht="23" x14ac:dyDescent="0.25">
      <c r="A113" s="54" t="s">
        <v>86</v>
      </c>
      <c r="B113" s="102">
        <v>0.25</v>
      </c>
      <c r="C113" s="102">
        <f t="shared" si="6"/>
        <v>0.25</v>
      </c>
      <c r="D113" s="143">
        <v>0.17</v>
      </c>
      <c r="E113" s="27"/>
      <c r="F113" s="4"/>
      <c r="G113" s="57"/>
    </row>
    <row r="114" spans="1:7" x14ac:dyDescent="0.25">
      <c r="A114" s="54" t="s">
        <v>85</v>
      </c>
      <c r="B114" s="102">
        <v>0.1</v>
      </c>
      <c r="C114" s="102">
        <f t="shared" si="6"/>
        <v>0.1</v>
      </c>
      <c r="D114" s="143">
        <v>0.05</v>
      </c>
      <c r="E114" s="18" t="s">
        <v>156</v>
      </c>
      <c r="F114" s="4"/>
      <c r="G114" s="57"/>
    </row>
    <row r="115" spans="1:7" x14ac:dyDescent="0.25">
      <c r="A115" s="54" t="s">
        <v>84</v>
      </c>
      <c r="B115" s="102">
        <v>0.2</v>
      </c>
      <c r="C115" s="102">
        <f t="shared" si="6"/>
        <v>0.2</v>
      </c>
      <c r="D115" s="143">
        <v>0.2</v>
      </c>
      <c r="E115" s="17"/>
      <c r="F115" s="2"/>
      <c r="G115" s="46"/>
    </row>
    <row r="116" spans="1:7" x14ac:dyDescent="0.25">
      <c r="A116" s="54" t="s">
        <v>83</v>
      </c>
      <c r="B116" s="102">
        <v>0.1</v>
      </c>
      <c r="C116" s="102">
        <f t="shared" si="6"/>
        <v>0.1</v>
      </c>
      <c r="D116" s="143">
        <v>0.1</v>
      </c>
      <c r="E116" s="17"/>
      <c r="F116" s="2"/>
      <c r="G116" s="46"/>
    </row>
    <row r="117" spans="1:7" x14ac:dyDescent="0.25">
      <c r="A117" s="54" t="s">
        <v>82</v>
      </c>
      <c r="B117" s="102">
        <v>0.05</v>
      </c>
      <c r="C117" s="102">
        <f t="shared" si="6"/>
        <v>0.05</v>
      </c>
      <c r="D117" s="143">
        <v>0.05</v>
      </c>
      <c r="E117" s="17"/>
      <c r="F117" s="2"/>
      <c r="G117" s="46"/>
    </row>
    <row r="118" spans="1:7" x14ac:dyDescent="0.25">
      <c r="A118" s="54" t="s">
        <v>81</v>
      </c>
      <c r="B118" s="102">
        <v>0.1</v>
      </c>
      <c r="C118" s="102">
        <f t="shared" si="6"/>
        <v>0.1</v>
      </c>
      <c r="D118" s="143">
        <v>0.1</v>
      </c>
      <c r="E118" s="17"/>
      <c r="F118" s="2"/>
      <c r="G118" s="46"/>
    </row>
    <row r="119" spans="1:7" x14ac:dyDescent="0.25">
      <c r="A119" s="54" t="s">
        <v>80</v>
      </c>
      <c r="B119" s="102">
        <v>0.05</v>
      </c>
      <c r="C119" s="102">
        <f t="shared" si="6"/>
        <v>0.05</v>
      </c>
      <c r="D119" s="143">
        <v>0.05</v>
      </c>
      <c r="E119" s="17"/>
      <c r="F119" s="2"/>
      <c r="G119" s="46"/>
    </row>
    <row r="120" spans="1:7" x14ac:dyDescent="0.25">
      <c r="A120" s="54" t="s">
        <v>79</v>
      </c>
      <c r="B120" s="102">
        <v>0.05</v>
      </c>
      <c r="C120" s="102">
        <f t="shared" si="6"/>
        <v>0.05</v>
      </c>
      <c r="D120" s="143">
        <v>0.05</v>
      </c>
      <c r="E120" s="17"/>
      <c r="F120" s="2"/>
      <c r="G120" s="46"/>
    </row>
    <row r="121" spans="1:7" ht="23" x14ac:dyDescent="0.25">
      <c r="A121" s="49" t="s">
        <v>68</v>
      </c>
      <c r="B121" s="102">
        <v>0.05</v>
      </c>
      <c r="C121" s="102">
        <f t="shared" si="6"/>
        <v>0.05</v>
      </c>
      <c r="D121" s="143">
        <v>0.05</v>
      </c>
      <c r="E121" s="17"/>
      <c r="F121" s="2"/>
      <c r="G121" s="46"/>
    </row>
    <row r="122" spans="1:7" ht="12" thickBot="1" x14ac:dyDescent="0.3">
      <c r="A122" s="50" t="s">
        <v>75</v>
      </c>
      <c r="B122" s="105">
        <v>0.05</v>
      </c>
      <c r="C122" s="105">
        <f t="shared" si="6"/>
        <v>0.05</v>
      </c>
      <c r="D122" s="144">
        <v>0.05</v>
      </c>
      <c r="E122" s="51"/>
      <c r="F122" s="52"/>
      <c r="G122" s="53"/>
    </row>
    <row r="123" spans="1:7" ht="15.5" x14ac:dyDescent="0.35">
      <c r="A123" s="40" t="s">
        <v>69</v>
      </c>
      <c r="B123" s="41">
        <f>SUM(B124:B129)</f>
        <v>1</v>
      </c>
      <c r="C123" s="41">
        <f>SUM(C124:C129)</f>
        <v>1</v>
      </c>
      <c r="D123" s="41">
        <f>IF(MIN(D124,D126,D129)=0,0,SUM(D124:D129))</f>
        <v>0</v>
      </c>
      <c r="E123" s="42"/>
      <c r="F123" s="43"/>
      <c r="G123" s="44"/>
    </row>
    <row r="124" spans="1:7" ht="23" x14ac:dyDescent="0.25">
      <c r="A124" s="54" t="s">
        <v>128</v>
      </c>
      <c r="B124" s="102">
        <v>0.2</v>
      </c>
      <c r="C124" s="102">
        <f t="shared" si="6"/>
        <v>0.2</v>
      </c>
      <c r="D124" s="143">
        <v>0</v>
      </c>
      <c r="E124" s="17" t="s">
        <v>158</v>
      </c>
      <c r="F124" s="2"/>
      <c r="G124" s="46"/>
    </row>
    <row r="125" spans="1:7" x14ac:dyDescent="0.25">
      <c r="A125" s="54" t="s">
        <v>54</v>
      </c>
      <c r="B125" s="102">
        <v>0.15</v>
      </c>
      <c r="C125" s="102">
        <f t="shared" si="6"/>
        <v>0.15</v>
      </c>
      <c r="D125" s="143">
        <v>0.15</v>
      </c>
      <c r="E125" s="17"/>
      <c r="F125" s="2"/>
      <c r="G125" s="46"/>
    </row>
    <row r="126" spans="1:7" x14ac:dyDescent="0.25">
      <c r="A126" s="54" t="s">
        <v>76</v>
      </c>
      <c r="B126" s="102">
        <v>0.15</v>
      </c>
      <c r="C126" s="102">
        <f t="shared" si="6"/>
        <v>0.15</v>
      </c>
      <c r="D126" s="143">
        <v>0.15</v>
      </c>
      <c r="E126" s="17"/>
      <c r="F126" s="2"/>
      <c r="G126" s="46"/>
    </row>
    <row r="127" spans="1:7" x14ac:dyDescent="0.25">
      <c r="A127" s="54" t="s">
        <v>77</v>
      </c>
      <c r="B127" s="102">
        <v>0.15</v>
      </c>
      <c r="C127" s="102">
        <f t="shared" si="6"/>
        <v>0.15</v>
      </c>
      <c r="D127" s="143">
        <v>0.15</v>
      </c>
      <c r="E127" s="17"/>
      <c r="F127" s="2"/>
      <c r="G127" s="46"/>
    </row>
    <row r="128" spans="1:7" x14ac:dyDescent="0.25">
      <c r="A128" s="54" t="s">
        <v>137</v>
      </c>
      <c r="B128" s="102">
        <v>0.15</v>
      </c>
      <c r="C128" s="102">
        <f t="shared" si="6"/>
        <v>0.15</v>
      </c>
      <c r="D128" s="143">
        <v>0.15</v>
      </c>
      <c r="E128" s="17"/>
      <c r="F128" s="2"/>
      <c r="G128" s="46"/>
    </row>
    <row r="129" spans="1:7" ht="12" thickBot="1" x14ac:dyDescent="0.3">
      <c r="A129" s="56" t="s">
        <v>78</v>
      </c>
      <c r="B129" s="105">
        <v>0.2</v>
      </c>
      <c r="C129" s="105">
        <f t="shared" si="6"/>
        <v>0.2</v>
      </c>
      <c r="D129" s="144">
        <v>0.2</v>
      </c>
      <c r="E129" s="51"/>
      <c r="F129" s="52"/>
      <c r="G129" s="53"/>
    </row>
    <row r="130" spans="1:7" ht="15.5" x14ac:dyDescent="0.35">
      <c r="A130" s="40" t="s">
        <v>66</v>
      </c>
      <c r="B130" s="41">
        <f>SUM(B131:B136)</f>
        <v>1</v>
      </c>
      <c r="C130" s="41">
        <f>SUM(C131:C136)</f>
        <v>0.79999999999999993</v>
      </c>
      <c r="D130" s="41">
        <f>IF(MIN(D131,D133,D134)=0,0,SUM(D131:D136))</f>
        <v>0.79999999999999993</v>
      </c>
      <c r="E130" s="42"/>
      <c r="F130" s="43"/>
      <c r="G130" s="44"/>
    </row>
    <row r="131" spans="1:7" x14ac:dyDescent="0.25">
      <c r="A131" s="54" t="s">
        <v>123</v>
      </c>
      <c r="B131" s="102">
        <v>0.25</v>
      </c>
      <c r="C131" s="102">
        <f t="shared" si="6"/>
        <v>0.25</v>
      </c>
      <c r="D131" s="143">
        <v>0.25</v>
      </c>
      <c r="E131" s="17"/>
      <c r="F131" s="2"/>
      <c r="G131" s="46"/>
    </row>
    <row r="132" spans="1:7" x14ac:dyDescent="0.25">
      <c r="A132" s="54" t="s">
        <v>67</v>
      </c>
      <c r="B132" s="102">
        <v>0.2</v>
      </c>
      <c r="C132" s="102">
        <f t="shared" si="6"/>
        <v>0.2</v>
      </c>
      <c r="D132" s="143">
        <v>0.2</v>
      </c>
      <c r="E132" s="17"/>
      <c r="F132" s="2"/>
      <c r="G132" s="46"/>
    </row>
    <row r="133" spans="1:7" x14ac:dyDescent="0.25">
      <c r="A133" s="54" t="s">
        <v>124</v>
      </c>
      <c r="B133" s="102">
        <v>0.15</v>
      </c>
      <c r="C133" s="102">
        <f t="shared" si="6"/>
        <v>0.15</v>
      </c>
      <c r="D133" s="143">
        <v>0.15</v>
      </c>
      <c r="E133" s="17"/>
      <c r="F133" s="2"/>
      <c r="G133" s="46"/>
    </row>
    <row r="134" spans="1:7" x14ac:dyDescent="0.25">
      <c r="A134" s="54" t="s">
        <v>125</v>
      </c>
      <c r="B134" s="102">
        <v>0.2</v>
      </c>
      <c r="C134" s="102" t="str">
        <f t="shared" si="6"/>
        <v>NA</v>
      </c>
      <c r="D134" s="143" t="s">
        <v>155</v>
      </c>
      <c r="E134" s="17"/>
      <c r="F134" s="2"/>
      <c r="G134" s="46"/>
    </row>
    <row r="135" spans="1:7" x14ac:dyDescent="0.25">
      <c r="A135" s="55" t="s">
        <v>126</v>
      </c>
      <c r="B135" s="102">
        <v>0.1</v>
      </c>
      <c r="C135" s="102">
        <f t="shared" si="6"/>
        <v>0.1</v>
      </c>
      <c r="D135" s="143">
        <v>0.1</v>
      </c>
      <c r="E135" s="17"/>
      <c r="F135" s="2"/>
      <c r="G135" s="46"/>
    </row>
    <row r="136" spans="1:7" ht="12" thickBot="1" x14ac:dyDescent="0.3">
      <c r="A136" s="56" t="s">
        <v>127</v>
      </c>
      <c r="B136" s="105">
        <v>0.1</v>
      </c>
      <c r="C136" s="105">
        <f t="shared" si="6"/>
        <v>0.1</v>
      </c>
      <c r="D136" s="144">
        <v>0.1</v>
      </c>
      <c r="E136" s="51"/>
      <c r="F136" s="52"/>
      <c r="G136" s="53"/>
    </row>
    <row r="137" spans="1:7" ht="15.5" x14ac:dyDescent="0.35">
      <c r="A137" s="40" t="s">
        <v>1</v>
      </c>
      <c r="B137" s="41">
        <f>SUM(B138:B141)</f>
        <v>1</v>
      </c>
      <c r="C137" s="41">
        <f>SUM(C138:C141)</f>
        <v>1</v>
      </c>
      <c r="D137" s="41">
        <f>IF(MIN(D139,D140,D141)=0,0,SUM(D138:D141))</f>
        <v>0.95</v>
      </c>
      <c r="E137" s="42"/>
      <c r="F137" s="43"/>
      <c r="G137" s="44"/>
    </row>
    <row r="138" spans="1:7" x14ac:dyDescent="0.25">
      <c r="A138" s="49" t="s">
        <v>121</v>
      </c>
      <c r="B138" s="102">
        <v>0.2</v>
      </c>
      <c r="C138" s="102">
        <f t="shared" si="6"/>
        <v>0.2</v>
      </c>
      <c r="D138" s="143">
        <v>0.2</v>
      </c>
      <c r="E138" s="17"/>
      <c r="F138" s="2"/>
      <c r="G138" s="46"/>
    </row>
    <row r="139" spans="1:7" x14ac:dyDescent="0.25">
      <c r="A139" s="49" t="s">
        <v>122</v>
      </c>
      <c r="B139" s="102">
        <v>0.3</v>
      </c>
      <c r="C139" s="102">
        <f t="shared" si="6"/>
        <v>0.3</v>
      </c>
      <c r="D139" s="143">
        <v>0.25</v>
      </c>
      <c r="E139" s="17"/>
      <c r="F139" s="2"/>
      <c r="G139" s="46"/>
    </row>
    <row r="140" spans="1:7" ht="23" x14ac:dyDescent="0.25">
      <c r="A140" s="49" t="s">
        <v>133</v>
      </c>
      <c r="B140" s="102">
        <v>0.25</v>
      </c>
      <c r="C140" s="102">
        <f t="shared" si="6"/>
        <v>0.25</v>
      </c>
      <c r="D140" s="143">
        <v>0.25</v>
      </c>
      <c r="E140" s="17"/>
      <c r="F140" s="2"/>
      <c r="G140" s="46"/>
    </row>
    <row r="141" spans="1:7" ht="12" thickBot="1" x14ac:dyDescent="0.3">
      <c r="A141" s="50" t="s">
        <v>0</v>
      </c>
      <c r="B141" s="105">
        <v>0.25</v>
      </c>
      <c r="C141" s="105">
        <f t="shared" si="6"/>
        <v>0.25</v>
      </c>
      <c r="D141" s="144">
        <v>0.25</v>
      </c>
      <c r="E141" s="51"/>
      <c r="F141" s="52"/>
      <c r="G141" s="53"/>
    </row>
    <row r="142" spans="1:7" ht="15.5" x14ac:dyDescent="0.35">
      <c r="A142" s="40" t="s">
        <v>2</v>
      </c>
      <c r="B142" s="41">
        <f>SUM(B143:B150)</f>
        <v>1</v>
      </c>
      <c r="C142" s="41">
        <f>SUM(C143:C150)</f>
        <v>1</v>
      </c>
      <c r="D142" s="41">
        <f>IF(MIN(D146,D147,D148)=0,0,SUM(D143:D150))</f>
        <v>0.95</v>
      </c>
      <c r="E142" s="42"/>
      <c r="F142" s="43"/>
      <c r="G142" s="44"/>
    </row>
    <row r="143" spans="1:7" x14ac:dyDescent="0.25">
      <c r="A143" s="45" t="s">
        <v>3</v>
      </c>
      <c r="B143" s="102">
        <v>0.1</v>
      </c>
      <c r="C143" s="102">
        <f t="shared" si="6"/>
        <v>0.1</v>
      </c>
      <c r="D143" s="143">
        <v>0.1</v>
      </c>
      <c r="E143" s="17"/>
      <c r="F143" s="2"/>
      <c r="G143" s="46"/>
    </row>
    <row r="144" spans="1:7" x14ac:dyDescent="0.25">
      <c r="A144" s="45" t="s">
        <v>4</v>
      </c>
      <c r="B144" s="102">
        <v>0.1</v>
      </c>
      <c r="C144" s="102">
        <f t="shared" si="6"/>
        <v>0.1</v>
      </c>
      <c r="D144" s="143">
        <v>0.1</v>
      </c>
      <c r="E144" s="17"/>
      <c r="F144" s="2"/>
      <c r="G144" s="46"/>
    </row>
    <row r="145" spans="1:7" x14ac:dyDescent="0.25">
      <c r="A145" s="47" t="s">
        <v>5</v>
      </c>
      <c r="B145" s="103">
        <v>0.1</v>
      </c>
      <c r="C145" s="102">
        <f t="shared" si="6"/>
        <v>0.1</v>
      </c>
      <c r="D145" s="148">
        <v>0.05</v>
      </c>
      <c r="E145" s="17"/>
      <c r="F145" s="2"/>
      <c r="G145" s="46"/>
    </row>
    <row r="146" spans="1:7" x14ac:dyDescent="0.25">
      <c r="A146" s="47" t="s">
        <v>6</v>
      </c>
      <c r="B146" s="103">
        <v>0.1</v>
      </c>
      <c r="C146" s="102">
        <f t="shared" si="6"/>
        <v>0.1</v>
      </c>
      <c r="D146" s="148">
        <v>0.1</v>
      </c>
      <c r="E146" s="17"/>
      <c r="F146" s="2"/>
      <c r="G146" s="46"/>
    </row>
    <row r="147" spans="1:7" x14ac:dyDescent="0.25">
      <c r="A147" s="47" t="s">
        <v>7</v>
      </c>
      <c r="B147" s="103">
        <v>0.2</v>
      </c>
      <c r="C147" s="102">
        <f t="shared" si="6"/>
        <v>0.2</v>
      </c>
      <c r="D147" s="148">
        <v>0.2</v>
      </c>
      <c r="E147" s="17"/>
      <c r="F147" s="2"/>
      <c r="G147" s="46"/>
    </row>
    <row r="148" spans="1:7" ht="23" x14ac:dyDescent="0.25">
      <c r="A148" s="47" t="s">
        <v>8</v>
      </c>
      <c r="B148" s="103">
        <v>0.2</v>
      </c>
      <c r="C148" s="102">
        <f t="shared" si="6"/>
        <v>0.2</v>
      </c>
      <c r="D148" s="148">
        <v>0.2</v>
      </c>
      <c r="E148" s="17"/>
      <c r="F148" s="2"/>
      <c r="G148" s="46"/>
    </row>
    <row r="149" spans="1:7" x14ac:dyDescent="0.25">
      <c r="A149" s="47" t="s">
        <v>9</v>
      </c>
      <c r="B149" s="103">
        <v>0.1</v>
      </c>
      <c r="C149" s="102">
        <f t="shared" si="6"/>
        <v>0.1</v>
      </c>
      <c r="D149" s="148">
        <v>0.1</v>
      </c>
      <c r="E149" s="17"/>
      <c r="F149" s="2"/>
      <c r="G149" s="46"/>
    </row>
    <row r="150" spans="1:7" ht="23" x14ac:dyDescent="0.25">
      <c r="A150" s="48" t="s">
        <v>10</v>
      </c>
      <c r="B150" s="104">
        <v>0.1</v>
      </c>
      <c r="C150" s="102">
        <f t="shared" si="6"/>
        <v>0.1</v>
      </c>
      <c r="D150" s="149">
        <v>0.1</v>
      </c>
      <c r="E150" s="17"/>
      <c r="F150" s="2"/>
      <c r="G150" s="46"/>
    </row>
    <row r="151" spans="1:7" ht="20.5" thickBot="1" x14ac:dyDescent="0.45">
      <c r="A151" s="97" t="s">
        <v>19</v>
      </c>
      <c r="B151" s="98">
        <f>AVERAGE(B130,B112,B96,B87,B73,B60,B54,B44,B31,B21,B11,B123,B137,B142)</f>
        <v>1</v>
      </c>
      <c r="C151" s="98">
        <f>AVERAGE(C130,C112,C96,C87,C73,C60,C54,C44,C31,C21,C11,C123,C137,C142)</f>
        <v>0.98571428571428577</v>
      </c>
      <c r="D151" s="98">
        <f>AVERAGE(D142,D137,D130,D123,D112,D96,D87,D73,D60,D54,D44,D31,D21,D11)</f>
        <v>0.88571428571428579</v>
      </c>
      <c r="E151" s="99"/>
      <c r="F151" s="100"/>
      <c r="G151" s="101"/>
    </row>
    <row r="152" spans="1:7" ht="12" thickBot="1" x14ac:dyDescent="0.3">
      <c r="A152" s="131"/>
      <c r="B152" s="132"/>
      <c r="C152" s="133"/>
      <c r="D152" s="134"/>
      <c r="E152" s="135"/>
      <c r="F152" s="136"/>
      <c r="G152" s="137"/>
    </row>
    <row r="153" spans="1:7" ht="30.5" thickBot="1" x14ac:dyDescent="0.65">
      <c r="A153" s="130" t="s">
        <v>49</v>
      </c>
      <c r="B153" s="175">
        <f>D151/C151</f>
        <v>0.89855072463768115</v>
      </c>
      <c r="C153" s="176"/>
      <c r="D153" s="12"/>
      <c r="E153" s="25"/>
      <c r="F153" s="138"/>
      <c r="G153" s="139"/>
    </row>
    <row r="154" spans="1:7" x14ac:dyDescent="0.25">
      <c r="B154" s="12"/>
      <c r="C154" s="12"/>
      <c r="D154" s="12"/>
      <c r="E154" s="25"/>
      <c r="F154" s="138"/>
      <c r="G154" s="139"/>
    </row>
    <row r="155" spans="1:7" ht="12" thickBot="1" x14ac:dyDescent="0.3">
      <c r="A155" s="1" t="s">
        <v>154</v>
      </c>
      <c r="B155" s="140"/>
      <c r="C155" s="140"/>
      <c r="D155" s="140"/>
      <c r="E155" s="141"/>
      <c r="F155" s="140"/>
      <c r="G155" s="142"/>
    </row>
    <row r="157" spans="1:7" ht="15.5" x14ac:dyDescent="0.35">
      <c r="A157" s="168"/>
      <c r="B157" s="169"/>
    </row>
    <row r="162" spans="1:1" x14ac:dyDescent="0.25">
      <c r="A162" s="1" t="s">
        <v>147</v>
      </c>
    </row>
  </sheetData>
  <sheetProtection formatCells="0" selectLockedCells="1"/>
  <mergeCells count="1">
    <mergeCell ref="B153:C153"/>
  </mergeCells>
  <phoneticPr fontId="0" type="noConversion"/>
  <conditionalFormatting sqref="D153">
    <cfRule type="cellIs" dxfId="0" priority="1" stopIfTrue="1" operator="equal">
      <formula>IF(C152="5",,Format)</formula>
    </cfRule>
  </conditionalFormatting>
  <pageMargins left="0.55118110236220474" right="0.39370078740157483" top="0.98425196850393704" bottom="0.98425196850393704" header="0.51181102362204722" footer="0.51181102362204722"/>
  <pageSetup paperSize="9" scale="85" fitToHeight="2" orientation="landscape" r:id="rId1"/>
  <headerFooter alignWithMargins="0">
    <oddFooter>&amp;LTQM/O&amp;M/FO/027, REV: 03, Février 2015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showGridLines="0" workbookViewId="0">
      <selection activeCell="A9" sqref="A9"/>
    </sheetView>
  </sheetViews>
  <sheetFormatPr baseColWidth="10" defaultRowHeight="12.5" x14ac:dyDescent="0.25"/>
  <cols>
    <col min="1" max="1" width="29" customWidth="1"/>
    <col min="2" max="2" width="28.7265625" customWidth="1"/>
    <col min="3" max="3" width="61" customWidth="1"/>
  </cols>
  <sheetData>
    <row r="1" spans="1:3" s="31" customFormat="1" ht="19" customHeight="1" x14ac:dyDescent="0.35">
      <c r="A1" s="28"/>
      <c r="B1" s="29"/>
      <c r="C1" s="30"/>
    </row>
    <row r="2" spans="1:3" s="31" customFormat="1" ht="24.75" customHeight="1" x14ac:dyDescent="0.35">
      <c r="A2" s="32"/>
      <c r="B2" s="33"/>
      <c r="C2" s="34"/>
    </row>
    <row r="3" spans="1:3" s="31" customFormat="1" ht="31.5" customHeight="1" thickBot="1" x14ac:dyDescent="0.4">
      <c r="A3" s="150"/>
      <c r="B3" s="36"/>
      <c r="C3" s="152"/>
    </row>
    <row r="4" spans="1:3" s="1" customFormat="1" ht="11.5" x14ac:dyDescent="0.25">
      <c r="A4" s="109"/>
      <c r="B4" s="110"/>
      <c r="C4" s="112"/>
    </row>
    <row r="5" spans="1:3" x14ac:dyDescent="0.25">
      <c r="A5" s="153"/>
      <c r="B5" s="154"/>
      <c r="C5" s="155"/>
    </row>
    <row r="6" spans="1:3" ht="13" thickBot="1" x14ac:dyDescent="0.3">
      <c r="A6" s="156"/>
      <c r="B6" s="157"/>
      <c r="C6" s="158"/>
    </row>
    <row r="7" spans="1:3" ht="26" customHeight="1" x14ac:dyDescent="0.25">
      <c r="A7" s="172"/>
      <c r="B7" s="173"/>
      <c r="C7" s="171"/>
    </row>
    <row r="8" spans="1:3" ht="13.5" thickBot="1" x14ac:dyDescent="0.3">
      <c r="A8" s="96"/>
      <c r="B8" s="96"/>
      <c r="C8" s="96"/>
    </row>
    <row r="9" spans="1:3" ht="201" customHeight="1" thickBot="1" x14ac:dyDescent="0.3">
      <c r="A9" s="165"/>
      <c r="B9" s="166"/>
      <c r="C9" s="151"/>
    </row>
    <row r="10" spans="1:3" ht="30" customHeight="1" x14ac:dyDescent="0.25">
      <c r="A10" s="172"/>
      <c r="B10" s="173"/>
      <c r="C10" s="171"/>
    </row>
    <row r="11" spans="1:3" ht="13.5" thickBot="1" x14ac:dyDescent="0.3">
      <c r="A11" s="96"/>
      <c r="B11" s="96"/>
      <c r="C11" s="96"/>
    </row>
    <row r="12" spans="1:3" ht="202.5" customHeight="1" thickBot="1" x14ac:dyDescent="0.3">
      <c r="A12" s="165"/>
      <c r="B12" s="166"/>
      <c r="C12" s="151"/>
    </row>
    <row r="13" spans="1:3" ht="30.75" customHeight="1" x14ac:dyDescent="0.25">
      <c r="A13" s="181"/>
      <c r="B13" s="182"/>
      <c r="C13" s="183"/>
    </row>
    <row r="14" spans="1:3" ht="201.75" customHeight="1" x14ac:dyDescent="0.25">
      <c r="A14" s="177"/>
      <c r="B14" s="178"/>
      <c r="C14" s="160"/>
    </row>
    <row r="15" spans="1:3" ht="21" customHeight="1" x14ac:dyDescent="0.25">
      <c r="A15" s="179"/>
      <c r="B15" s="180"/>
      <c r="C15" s="170"/>
    </row>
    <row r="16" spans="1:3" ht="21.75" customHeight="1" thickBot="1" x14ac:dyDescent="0.3">
      <c r="A16" s="96"/>
      <c r="B16" s="96"/>
      <c r="C16" s="96"/>
    </row>
    <row r="17" spans="1:3" ht="198.75" customHeight="1" thickBot="1" x14ac:dyDescent="0.3">
      <c r="A17" s="151"/>
      <c r="B17" s="151"/>
      <c r="C17" s="151"/>
    </row>
    <row r="18" spans="1:3" ht="43.5" customHeight="1" x14ac:dyDescent="0.25">
      <c r="A18" s="1" t="s">
        <v>153</v>
      </c>
    </row>
    <row r="20" spans="1:3" ht="203.25" customHeight="1" x14ac:dyDescent="0.25"/>
  </sheetData>
  <mergeCells count="3">
    <mergeCell ref="A14:B14"/>
    <mergeCell ref="A15:B15"/>
    <mergeCell ref="A13:C13"/>
  </mergeCells>
  <pageMargins left="0.70866141732283472" right="0.59055118110236227" top="0.74803149606299213" bottom="0.74803149606299213" header="0.31496062992125984" footer="0.31496062992125984"/>
  <pageSetup paperSize="8" orientation="portrait" r:id="rId1"/>
  <headerFooter>
    <oddFooter>&amp;LTQM/O&amp;M/FO/027, REV: 01, Fevrier 2013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95E1A4A108F247B40D0CC9290FFEF7" ma:contentTypeVersion="12" ma:contentTypeDescription="Create a new document." ma:contentTypeScope="" ma:versionID="833dd7d198debc4e99c4f026bc512ec3">
  <xsd:schema xmlns:xsd="http://www.w3.org/2001/XMLSchema" xmlns:xs="http://www.w3.org/2001/XMLSchema" xmlns:p="http://schemas.microsoft.com/office/2006/metadata/properties" xmlns:ns2="30d43da0-c769-4dc7-8cf0-3d9682f7c45a" xmlns:ns3="d1a5d3ea-13c6-49a5-8d49-fef7097ef4e2" targetNamespace="http://schemas.microsoft.com/office/2006/metadata/properties" ma:root="true" ma:fieldsID="274c4b9973a2bbc465611e024d519913" ns2:_="" ns3:_="">
    <xsd:import namespace="30d43da0-c769-4dc7-8cf0-3d9682f7c45a"/>
    <xsd:import namespace="d1a5d3ea-13c6-49a5-8d49-fef7097ef4e2"/>
    <xsd:element name="properties">
      <xsd:complexType>
        <xsd:sequence>
          <xsd:element name="documentManagement">
            <xsd:complexType>
              <xsd:all>
                <xsd:element ref="ns2:hdc66222937341e6b0c49f97930beacd" minOccurs="0"/>
                <xsd:element ref="ns3:TaxCatchAll" minOccurs="0"/>
                <xsd:element ref="ns2:ba48635df02742398fda82645ddcf75a" minOccurs="0"/>
                <xsd:element ref="ns2:lfdd0490dbcf49808c6625ff4ce5e7a5" minOccurs="0"/>
                <xsd:element ref="ns2:Reference" minOccurs="0"/>
                <xsd:element ref="ns2:Date" minOccurs="0"/>
                <xsd:element ref="ns2:l725e91ffc0344129edcf3860d177bae" minOccurs="0"/>
                <xsd:element ref="ns2:R_x00e9_vis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43da0-c769-4dc7-8cf0-3d9682f7c45a" elementFormDefault="qualified">
    <xsd:import namespace="http://schemas.microsoft.com/office/2006/documentManagement/types"/>
    <xsd:import namespace="http://schemas.microsoft.com/office/infopath/2007/PartnerControls"/>
    <xsd:element name="hdc66222937341e6b0c49f97930beacd" ma:index="9" nillable="true" ma:taxonomy="true" ma:internalName="hdc66222937341e6b0c49f97930beacd" ma:taxonomyFieldName="Secteur" ma:displayName="Secteur" ma:default="" ma:fieldId="{1dc66222-9373-41e6-b0c4-9f97930beacd}" ma:sspId="43497a43-dad5-4ff0-8b5c-f826dc1aa55b" ma:termSetId="d478595e-8561-4fd1-bf4b-0124c3a0ecb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a48635df02742398fda82645ddcf75a" ma:index="12" nillable="true" ma:taxonomy="true" ma:internalName="ba48635df02742398fda82645ddcf75a" ma:taxonomyFieldName="Departement" ma:displayName="Departement" ma:default="" ma:fieldId="{ba48635d-f027-4239-8fda-82645ddcf75a}" ma:sspId="43497a43-dad5-4ff0-8b5c-f826dc1aa55b" ma:termSetId="732d9315-5579-46b1-9349-dc222c9a38b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fdd0490dbcf49808c6625ff4ce5e7a5" ma:index="14" nillable="true" ma:taxonomy="true" ma:internalName="lfdd0490dbcf49808c6625ff4ce5e7a5" ma:taxonomyFieldName="Proprietaire" ma:displayName="Proprietaire" ma:indexed="true" ma:default="" ma:fieldId="{5fdd0490-dbcf-4980-8c66-25ff4ce5e7a5}" ma:sspId="43497a43-dad5-4ff0-8b5c-f826dc1aa55b" ma:termSetId="aedd80f1-65a1-464f-aac8-72d46b45d57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ference" ma:index="15" nillable="true" ma:displayName="Reference" ma:internalName="Reference">
      <xsd:simpleType>
        <xsd:restriction base="dms:Text">
          <xsd:maxLength value="255"/>
        </xsd:restriction>
      </xsd:simpleType>
    </xsd:element>
    <xsd:element name="Date" ma:index="16" nillable="true" ma:displayName="Date de diffusion" ma:format="DateOnly" ma:internalName="Date">
      <xsd:simpleType>
        <xsd:restriction base="dms:DateTime"/>
      </xsd:simpleType>
    </xsd:element>
    <xsd:element name="l725e91ffc0344129edcf3860d177bae" ma:index="18" nillable="true" ma:taxonomy="true" ma:internalName="l725e91ffc0344129edcf3860d177bae" ma:taxonomyFieldName="Type_x0020_de_x0020_Document" ma:displayName="Type de Document" ma:indexed="true" ma:default="" ma:fieldId="{5725e91f-fc03-4412-9edc-f3860d177bae}" ma:sspId="43497a43-dad5-4ff0-8b5c-f826dc1aa55b" ma:termSetId="7c4d9186-e4c3-4003-9938-6d39f2eca28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_x00e9_vision" ma:index="19" nillable="true" ma:displayName="Révision" ma:default="Rev 00" ma:format="Dropdown" ma:internalName="R_x00e9_vision">
      <xsd:simpleType>
        <xsd:restriction base="dms:Choice">
          <xsd:enumeration value="Rev 00"/>
          <xsd:enumeration value="Rev 01"/>
          <xsd:enumeration value="Rev 02"/>
          <xsd:enumeration value="Rev 03"/>
          <xsd:enumeration value="Rev 04"/>
          <xsd:enumeration value="Rev 05"/>
          <xsd:enumeration value="Rev 06"/>
          <xsd:enumeration value="Rev 07"/>
          <xsd:enumeration value="Rev 08"/>
          <xsd:enumeration value="Rev 09"/>
          <xsd:enumeration value="Rev 10"/>
          <xsd:enumeration value="Rev 11"/>
          <xsd:enumeration value="Rev 12"/>
          <xsd:enumeration value="Rev 13"/>
          <xsd:enumeration value="Rev 14"/>
          <xsd:enumeration value="Rev 15"/>
          <xsd:enumeration value="Rev 16"/>
          <xsd:enumeration value="Rev 17"/>
          <xsd:enumeration value="Rev 18"/>
          <xsd:enumeration value="Rev 19"/>
          <xsd:enumeration value="Rev 20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5d3ea-13c6-49a5-8d49-fef7097ef4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6790e8f-77d9-423b-9fea-6408c4cd2666}" ma:internalName="TaxCatchAll" ma:showField="CatchAllData" ma:web="d1a5d3ea-13c6-49a5-8d49-fef7097ef4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hdc66222937341e6b0c49f97930beacd xmlns="30d43da0-c769-4dc7-8cf0-3d9682f7c45a">Technology|a73ac589-698e-4c31-9789-abd7b2ec38ff</hdc66222937341e6b0c49f97930beacd>
    <ba48635df02742398fda82645ddcf75a xmlns="30d43da0-c769-4dc7-8cf0-3d9682f7c45a">Technique|181753d0-ff4e-488e-9a13-c7bdfe9c9c24</ba48635df02742398fda82645ddcf75a>
    <TaxCatchAll xmlns="d1a5d3ea-13c6-49a5-8d49-fef7097ef4e2">
      <Value xmlns="d1a5d3ea-13c6-49a5-8d49-fef7097ef4e2">53</Value>
      <Value xmlns="d1a5d3ea-13c6-49a5-8d49-fef7097ef4e2">60</Value>
      <Value xmlns="d1a5d3ea-13c6-49a5-8d49-fef7097ef4e2">80</Value>
      <Value xmlns="d1a5d3ea-13c6-49a5-8d49-fef7097ef4e2">79</Value>
    </TaxCatchAll>
    <Date xmlns="30d43da0-c769-4dc7-8cf0-3d9682f7c45a">2015-03-03T23:00:00+00:00</Date>
    <lfdd0490dbcf49808c6625ff4ce5e7a5 xmlns="30d43da0-c769-4dc7-8cf0-3d9682f7c45a">Operation ＆Maintenance|c2274476-7369-4972-a935-f1ce36cf5162</lfdd0490dbcf49808c6625ff4ce5e7a5>
    <Reference xmlns="30d43da0-c769-4dc7-8cf0-3d9682f7c45a">TQM/O&amp;M/FO/027</Reference>
    <l725e91ffc0344129edcf3860d177bae xmlns="30d43da0-c769-4dc7-8cf0-3d9682f7c45a">Formulaire|d6d23f60-20b3-4d31-90ab-3c397160d000</l725e91ffc0344129edcf3860d177bae>
    <R_x00e9_vision xmlns="30d43da0-c769-4dc7-8cf0-3d9682f7c45a">Rev 02</R_x00e9_vision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149CC08E-E0F0-4E09-85A2-4BFA4EBAF9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6A6419-E6B6-4D8B-BAAA-CA798162BD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d43da0-c769-4dc7-8cf0-3d9682f7c45a"/>
    <ds:schemaRef ds:uri="d1a5d3ea-13c6-49a5-8d49-fef7097ef4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A21299-C690-4636-BA53-456636FD9482}">
  <ds:schemaRefs>
    <ds:schemaRef ds:uri="http://schemas.microsoft.com/office/2006/metadata/properties"/>
    <ds:schemaRef ds:uri="30d43da0-c769-4dc7-8cf0-3d9682f7c45a"/>
    <ds:schemaRef ds:uri="d1a5d3ea-13c6-49a5-8d49-fef7097ef4e2"/>
  </ds:schemaRefs>
</ds:datastoreItem>
</file>

<file path=customXml/itemProps4.xml><?xml version="1.0" encoding="utf-8"?>
<ds:datastoreItem xmlns:ds="http://schemas.openxmlformats.org/officeDocument/2006/customXml" ds:itemID="{923AA5DF-139D-4386-99EF-0B46D6A61909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Audit Shelter</vt:lpstr>
      <vt:lpstr>image</vt:lpstr>
    </vt:vector>
  </TitlesOfParts>
  <Company>djezzy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Formulaire Audit PM Site Check List.xls</dc:title>
  <dc:creator>fairouz.kadem</dc:creator>
  <cp:lastModifiedBy>Ayache BENAZIZ</cp:lastModifiedBy>
  <cp:lastPrinted>2015-02-23T13:21:37Z</cp:lastPrinted>
  <dcterms:created xsi:type="dcterms:W3CDTF">2005-09-05T09:39:46Z</dcterms:created>
  <dcterms:modified xsi:type="dcterms:W3CDTF">2025-03-21T11:49:00Z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rvices">
    <vt:lpwstr>Operation &amp; Maintenance</vt:lpwstr>
  </property>
  <property fmtid="{D5CDD505-2E9C-101B-9397-08002B2CF9AE}" pid="3" name="Références">
    <vt:lpwstr>TQM/O&amp;M/FO/027</vt:lpwstr>
  </property>
  <property fmtid="{D5CDD505-2E9C-101B-9397-08002B2CF9AE}" pid="4" name="Date de diffusion">
    <vt:lpwstr>2013-02-11T00:00:00Z</vt:lpwstr>
  </property>
  <property fmtid="{D5CDD505-2E9C-101B-9397-08002B2CF9AE}" pid="5" name="Divisions">
    <vt:lpwstr>Operation</vt:lpwstr>
  </property>
  <property fmtid="{D5CDD505-2E9C-101B-9397-08002B2CF9AE}" pid="6" name="Direction">
    <vt:lpwstr/>
  </property>
  <property fmtid="{D5CDD505-2E9C-101B-9397-08002B2CF9AE}" pid="7" name="Etat">
    <vt:lpwstr>Final</vt:lpwstr>
  </property>
  <property fmtid="{D5CDD505-2E9C-101B-9397-08002B2CF9AE}" pid="8" name="Département">
    <vt:lpwstr>Technique</vt:lpwstr>
  </property>
  <property fmtid="{D5CDD505-2E9C-101B-9397-08002B2CF9AE}" pid="9" name="Propriétaire">
    <vt:lpwstr>Operation &amp; Maintenance</vt:lpwstr>
  </property>
  <property fmtid="{D5CDD505-2E9C-101B-9397-08002B2CF9AE}" pid="10" name="Secteur">
    <vt:lpwstr>60;#Technology|a73ac589-698e-4c31-9789-abd7b2ec38ff</vt:lpwstr>
  </property>
  <property fmtid="{D5CDD505-2E9C-101B-9397-08002B2CF9AE}" pid="11" name="S/Département">
    <vt:lpwstr>Operation &amp; Maintenance</vt:lpwstr>
  </property>
  <property fmtid="{D5CDD505-2E9C-101B-9397-08002B2CF9AE}" pid="12" name="Type de Document">
    <vt:lpwstr>53;#Formulaire|d6d23f60-20b3-4d31-90ab-3c397160d000</vt:lpwstr>
  </property>
  <property fmtid="{D5CDD505-2E9C-101B-9397-08002B2CF9AE}" pid="13" name="Departement">
    <vt:lpwstr>79;#Technique|181753d0-ff4e-488e-9a13-c7bdfe9c9c24</vt:lpwstr>
  </property>
  <property fmtid="{D5CDD505-2E9C-101B-9397-08002B2CF9AE}" pid="14" name="Proprietaire">
    <vt:lpwstr>80;#Operation ＆Maintenance|c2274476-7369-4972-a935-f1ce36cf5162</vt:lpwstr>
  </property>
</Properties>
</file>